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5041946-my.sharepoint.com/personal/ja-hyung_chung_plasticomnium_com/Documents/Bureau/"/>
    </mc:Choice>
  </mc:AlternateContent>
  <xr:revisionPtr revIDLastSave="228" documentId="8_{31BC7B3C-89C6-4E40-B2F8-7BCB77EFD879}" xr6:coauthVersionLast="47" xr6:coauthVersionMax="47" xr10:uidLastSave="{1A7278F0-383A-4224-9F87-7EBAD9320D33}"/>
  <bookViews>
    <workbookView xWindow="-120" yWindow="-16320" windowWidth="29040" windowHeight="15720" xr2:uid="{BB7007C2-29E3-4C02-A02D-69BDEFB8A67D}"/>
  </bookViews>
  <sheets>
    <sheet name="M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7" i="1"/>
  <c r="S27" i="1"/>
  <c r="T27" i="1"/>
  <c r="U27" i="1"/>
  <c r="V27" i="1"/>
  <c r="W27" i="1"/>
  <c r="X27" i="1"/>
  <c r="C25" i="1"/>
  <c r="C28" i="1"/>
  <c r="Y27" i="1"/>
  <c r="BW29" i="1"/>
  <c r="BT29" i="1"/>
  <c r="BU29" i="1"/>
  <c r="BV29" i="1"/>
  <c r="BT22" i="1"/>
  <c r="BU22" i="1"/>
  <c r="BV22" i="1"/>
  <c r="BW22" i="1"/>
  <c r="BW15" i="1"/>
  <c r="BW8" i="1"/>
  <c r="C21" i="1"/>
  <c r="Q21" i="1" s="1"/>
  <c r="AA20" i="1"/>
  <c r="Z20" i="1"/>
  <c r="Y20" i="1"/>
  <c r="C18" i="1"/>
  <c r="C14" i="1"/>
  <c r="Q14" i="1" s="1"/>
  <c r="Q11" i="1"/>
  <c r="C11" i="1"/>
  <c r="C4" i="1"/>
  <c r="R28" i="1" l="1"/>
  <c r="R21" i="1"/>
  <c r="R18" i="1"/>
  <c r="Q18" i="1"/>
  <c r="R14" i="1"/>
  <c r="R11" i="1"/>
  <c r="C7" i="1"/>
  <c r="S21" i="1" l="1"/>
  <c r="S18" i="1"/>
  <c r="S11" i="1"/>
  <c r="S14" i="1"/>
  <c r="Q4" i="1"/>
  <c r="Q7" i="1"/>
  <c r="R4" i="1" s="1"/>
  <c r="T21" i="1" l="1"/>
  <c r="T18" i="1"/>
  <c r="T14" i="1"/>
  <c r="T11" i="1"/>
  <c r="R7" i="1"/>
  <c r="S4" i="1" s="1"/>
  <c r="S7" i="1" s="1"/>
  <c r="U21" i="1" l="1"/>
  <c r="U18" i="1"/>
  <c r="U14" i="1"/>
  <c r="U11" i="1"/>
  <c r="T4" i="1"/>
  <c r="V21" i="1" l="1"/>
  <c r="V18" i="1"/>
  <c r="V14" i="1"/>
  <c r="V11" i="1"/>
  <c r="T7" i="1"/>
  <c r="U4" i="1" s="1"/>
  <c r="W21" i="1" l="1"/>
  <c r="W18" i="1"/>
  <c r="W11" i="1"/>
  <c r="W14" i="1"/>
  <c r="U7" i="1"/>
  <c r="X18" i="1" l="1"/>
  <c r="X21" i="1"/>
  <c r="X11" i="1"/>
  <c r="X14" i="1"/>
  <c r="V4" i="1"/>
  <c r="V7" i="1"/>
  <c r="Y18" i="1" l="1"/>
  <c r="Y21" i="1"/>
  <c r="Y11" i="1"/>
  <c r="W4" i="1"/>
  <c r="W7" i="1"/>
  <c r="X4" i="1" s="1"/>
  <c r="R25" i="1" l="1"/>
  <c r="Z18" i="1"/>
  <c r="Z21" i="1"/>
  <c r="S25" i="1" l="1"/>
  <c r="S28" i="1"/>
  <c r="AA18" i="1"/>
  <c r="AA21" i="1"/>
  <c r="X7" i="1"/>
  <c r="Y4" i="1" s="1"/>
  <c r="X8" i="1" s="1"/>
  <c r="T25" i="1" l="1"/>
  <c r="T28" i="1"/>
  <c r="AB18" i="1"/>
  <c r="U25" i="1" l="1"/>
  <c r="U28" i="1"/>
  <c r="V25" i="1" l="1"/>
  <c r="V28" i="1"/>
  <c r="W28" i="1" l="1"/>
  <c r="W25" i="1"/>
  <c r="AD20" i="1"/>
  <c r="X28" i="1" l="1"/>
  <c r="X25" i="1"/>
  <c r="AE20" i="1"/>
  <c r="AF20" i="1" l="1"/>
  <c r="AG20" i="1" l="1"/>
  <c r="AH20" i="1" l="1"/>
  <c r="AI20" i="1" l="1"/>
  <c r="AJ20" i="1" l="1"/>
  <c r="Y28" i="1" l="1"/>
  <c r="Z25" i="1" s="1"/>
  <c r="Y25" i="1"/>
  <c r="Y6" i="1" l="1"/>
  <c r="Y7" i="1" s="1"/>
  <c r="Z4" i="1" l="1"/>
  <c r="Y8" i="1" l="1"/>
  <c r="Z6" i="1" s="1"/>
  <c r="Z7" i="1" s="1"/>
  <c r="AA4" i="1" s="1"/>
  <c r="Z8" i="1" l="1"/>
  <c r="AA6" i="1" s="1"/>
  <c r="AA7" i="1" s="1"/>
  <c r="AB4" i="1" s="1"/>
  <c r="AA8" i="1" l="1"/>
  <c r="AB6" i="1" s="1"/>
  <c r="AB7" i="1" s="1"/>
  <c r="AC4" i="1" s="1"/>
  <c r="AB8" i="1" s="1"/>
  <c r="AC6" i="1" l="1"/>
  <c r="AC7" i="1" s="1"/>
  <c r="AD4" i="1" s="1"/>
  <c r="AC8" i="1" s="1"/>
  <c r="AD6" i="1" l="1"/>
  <c r="AD7" i="1" s="1"/>
  <c r="AE4" i="1" s="1"/>
  <c r="AD8" i="1" s="1"/>
  <c r="AE6" i="1" l="1"/>
  <c r="AE7" i="1" s="1"/>
  <c r="AF4" i="1" s="1"/>
  <c r="AE8" i="1" s="1"/>
  <c r="AF6" i="1" l="1"/>
  <c r="AF7" i="1" s="1"/>
  <c r="AG4" i="1" s="1"/>
  <c r="AF8" i="1" s="1"/>
  <c r="AG6" i="1" l="1"/>
  <c r="AG7" i="1" s="1"/>
  <c r="AH4" i="1" s="1"/>
  <c r="AG8" i="1" s="1"/>
  <c r="AH6" i="1" l="1"/>
  <c r="AH7" i="1" s="1"/>
  <c r="AI4" i="1" s="1"/>
  <c r="AH8" i="1" s="1"/>
  <c r="AI6" i="1" l="1"/>
  <c r="AI7" i="1" s="1"/>
  <c r="AJ4" i="1" s="1"/>
  <c r="AI8" i="1" s="1"/>
  <c r="AJ6" i="1" l="1"/>
  <c r="AJ7" i="1" s="1"/>
  <c r="AK4" i="1" s="1"/>
  <c r="AJ8" i="1" s="1"/>
  <c r="AK6" i="1" l="1"/>
  <c r="AK7" i="1" s="1"/>
  <c r="AL4" i="1" s="1"/>
  <c r="AK8" i="1" s="1"/>
  <c r="AL6" i="1" l="1"/>
  <c r="AL7" i="1" s="1"/>
  <c r="AM4" i="1" s="1"/>
  <c r="AL8" i="1" s="1"/>
  <c r="AM6" i="1" l="1"/>
  <c r="AM7" i="1" s="1"/>
  <c r="AN4" i="1" s="1"/>
  <c r="AM8" i="1" s="1"/>
  <c r="AN6" i="1" l="1"/>
  <c r="AN7" i="1" s="1"/>
  <c r="AO4" i="1" s="1"/>
  <c r="AN8" i="1" s="1"/>
  <c r="AO6" i="1" l="1"/>
  <c r="AO7" i="1" s="1"/>
  <c r="AP4" i="1" s="1"/>
  <c r="AO8" i="1" s="1"/>
  <c r="AP6" i="1" l="1"/>
  <c r="AP7" i="1" s="1"/>
  <c r="AQ4" i="1" s="1"/>
  <c r="AP8" i="1" l="1"/>
  <c r="AQ6" i="1" s="1"/>
  <c r="AQ7" i="1" s="1"/>
  <c r="AR4" i="1" s="1"/>
  <c r="AQ8" i="1" l="1"/>
  <c r="AR6" i="1" s="1"/>
  <c r="AR7" i="1" s="1"/>
  <c r="AS4" i="1" s="1"/>
  <c r="AR8" i="1" l="1"/>
  <c r="AS6" i="1" s="1"/>
  <c r="AS7" i="1" s="1"/>
  <c r="AT4" i="1" s="1"/>
  <c r="AS8" i="1" l="1"/>
  <c r="AT6" i="1" s="1"/>
  <c r="AT7" i="1" s="1"/>
  <c r="AU4" i="1" s="1"/>
  <c r="AT8" i="1" l="1"/>
  <c r="AU6" i="1" s="1"/>
  <c r="AU7" i="1" s="1"/>
  <c r="AV4" i="1" s="1"/>
  <c r="AU8" i="1" l="1"/>
  <c r="AV6" i="1" s="1"/>
  <c r="AV7" i="1" s="1"/>
  <c r="AW4" i="1" s="1"/>
  <c r="AV8" i="1" l="1"/>
  <c r="AW6" i="1" s="1"/>
  <c r="AW7" i="1" s="1"/>
  <c r="AX4" i="1" s="1"/>
  <c r="AW8" i="1" l="1"/>
  <c r="AX6" i="1" s="1"/>
  <c r="AX7" i="1" s="1"/>
  <c r="AY4" i="1" s="1"/>
  <c r="AX8" i="1" l="1"/>
  <c r="AY6" i="1" s="1"/>
  <c r="AY7" i="1" s="1"/>
  <c r="AZ4" i="1" s="1"/>
  <c r="AY8" i="1" l="1"/>
  <c r="AZ6" i="1" s="1"/>
  <c r="AZ7" i="1" s="1"/>
  <c r="BA4" i="1" s="1"/>
  <c r="AZ8" i="1" l="1"/>
  <c r="BA6" i="1" s="1"/>
  <c r="BA7" i="1" s="1"/>
  <c r="BB4" i="1" s="1"/>
  <c r="BA8" i="1" l="1"/>
  <c r="BB6" i="1" s="1"/>
  <c r="BB7" i="1" s="1"/>
  <c r="BC4" i="1" s="1"/>
  <c r="BB8" i="1" l="1"/>
  <c r="BC6" i="1" s="1"/>
  <c r="BC7" i="1" s="1"/>
  <c r="BD4" i="1" s="1"/>
  <c r="BC8" i="1" l="1"/>
  <c r="BD6" i="1" s="1"/>
  <c r="BD7" i="1" s="1"/>
  <c r="BE4" i="1" s="1"/>
  <c r="BD8" i="1" l="1"/>
  <c r="BE6" i="1" s="1"/>
  <c r="BE7" i="1" s="1"/>
  <c r="BF4" i="1" s="1"/>
  <c r="BE8" i="1" l="1"/>
  <c r="BF6" i="1" s="1"/>
  <c r="BF7" i="1" s="1"/>
  <c r="BG4" i="1" s="1"/>
  <c r="BF8" i="1" l="1"/>
  <c r="BG6" i="1" s="1"/>
  <c r="BG7" i="1" s="1"/>
  <c r="BH4" i="1" s="1"/>
  <c r="BG8" i="1" l="1"/>
  <c r="BH6" i="1" s="1"/>
  <c r="BH7" i="1" s="1"/>
  <c r="BI4" i="1" s="1"/>
  <c r="BH8" i="1" l="1"/>
  <c r="BI6" i="1" s="1"/>
  <c r="BI7" i="1" s="1"/>
  <c r="BJ4" i="1" s="1"/>
  <c r="BI8" i="1" l="1"/>
  <c r="BJ6" i="1" s="1"/>
  <c r="BJ7" i="1" s="1"/>
  <c r="BK4" i="1" s="1"/>
  <c r="BJ8" i="1" l="1"/>
  <c r="BK6" i="1" s="1"/>
  <c r="BK7" i="1" s="1"/>
  <c r="BL4" i="1" s="1"/>
  <c r="BK8" i="1" l="1"/>
  <c r="BL6" i="1" s="1"/>
  <c r="BL7" i="1" s="1"/>
  <c r="BM4" i="1" s="1"/>
  <c r="BL8" i="1" l="1"/>
  <c r="BM6" i="1" s="1"/>
  <c r="BM7" i="1" s="1"/>
  <c r="BN4" i="1" s="1"/>
  <c r="BM8" i="1" l="1"/>
  <c r="BN6" i="1" s="1"/>
  <c r="BN7" i="1" s="1"/>
  <c r="BO4" i="1" s="1"/>
  <c r="BN8" i="1" l="1"/>
  <c r="BO6" i="1" s="1"/>
  <c r="BO7" i="1" s="1"/>
  <c r="BP4" i="1" s="1"/>
  <c r="BO8" i="1" l="1"/>
  <c r="BP6" i="1" s="1"/>
  <c r="BP7" i="1" s="1"/>
  <c r="BQ4" i="1" s="1"/>
  <c r="BP8" i="1" l="1"/>
  <c r="BQ6" i="1" s="1"/>
  <c r="BQ7" i="1" s="1"/>
  <c r="BR4" i="1" s="1"/>
  <c r="BQ8" i="1" l="1"/>
  <c r="BR6" i="1" s="1"/>
  <c r="BR7" i="1" s="1"/>
  <c r="BS4" i="1" s="1"/>
  <c r="BR8" i="1" l="1"/>
  <c r="BS6" i="1" s="1"/>
  <c r="BS7" i="1" s="1"/>
  <c r="BT4" i="1" s="1"/>
  <c r="BS8" i="1" l="1"/>
  <c r="BT6" i="1" s="1"/>
  <c r="BT7" i="1" s="1"/>
  <c r="BU4" i="1" s="1"/>
  <c r="BT8" i="1" l="1"/>
  <c r="BU6" i="1" s="1"/>
  <c r="BU7" i="1" s="1"/>
  <c r="BV4" i="1" s="1"/>
  <c r="BU8" i="1" l="1"/>
  <c r="BV6" i="1" s="1"/>
  <c r="BV7" i="1" s="1"/>
  <c r="BW4" i="1" s="1"/>
  <c r="X15" i="1"/>
  <c r="Y13" i="1" s="1"/>
  <c r="Y14" i="1" s="1"/>
  <c r="BV8" i="1" l="1"/>
  <c r="BW6" i="1" s="1"/>
  <c r="BW7" i="1" s="1"/>
  <c r="Z11" i="1"/>
  <c r="Y15" i="1" l="1"/>
  <c r="Z13" i="1" s="1"/>
  <c r="Z14" i="1" s="1"/>
  <c r="AA11" i="1" s="1"/>
  <c r="Z15" i="1" l="1"/>
  <c r="AA13" i="1" s="1"/>
  <c r="AA14" i="1" s="1"/>
  <c r="AB11" i="1" s="1"/>
  <c r="AA15" i="1" l="1"/>
  <c r="AB13" i="1" s="1"/>
  <c r="AB14" i="1" s="1"/>
  <c r="AC11" i="1" s="1"/>
  <c r="AB15" i="1" s="1"/>
  <c r="AC13" i="1" l="1"/>
  <c r="AC14" i="1" s="1"/>
  <c r="AD11" i="1" s="1"/>
  <c r="AC15" i="1" l="1"/>
  <c r="AD13" i="1" s="1"/>
  <c r="AD14" i="1" s="1"/>
  <c r="AE11" i="1" s="1"/>
  <c r="AD15" i="1" l="1"/>
  <c r="AE13" i="1" s="1"/>
  <c r="AE14" i="1" s="1"/>
  <c r="AF11" i="1" s="1"/>
  <c r="AE15" i="1" l="1"/>
  <c r="AF13" i="1" s="1"/>
  <c r="AF14" i="1" s="1"/>
  <c r="AG11" i="1" s="1"/>
  <c r="AF15" i="1" l="1"/>
  <c r="AG13" i="1" s="1"/>
  <c r="AG14" i="1" s="1"/>
  <c r="AH11" i="1" s="1"/>
  <c r="AG15" i="1" l="1"/>
  <c r="AH13" i="1" s="1"/>
  <c r="AH14" i="1" s="1"/>
  <c r="AI11" i="1" s="1"/>
  <c r="AH15" i="1" l="1"/>
  <c r="AI13" i="1" s="1"/>
  <c r="AI14" i="1" s="1"/>
  <c r="AJ11" i="1" s="1"/>
  <c r="AI15" i="1" l="1"/>
  <c r="AJ13" i="1" s="1"/>
  <c r="AJ14" i="1" s="1"/>
  <c r="AK11" i="1" s="1"/>
  <c r="AJ15" i="1" l="1"/>
  <c r="AK13" i="1" s="1"/>
  <c r="AK14" i="1" s="1"/>
  <c r="AL11" i="1" s="1"/>
  <c r="AK15" i="1" l="1"/>
  <c r="AL13" i="1" s="1"/>
  <c r="AL14" i="1" s="1"/>
  <c r="AM11" i="1" s="1"/>
  <c r="AL15" i="1" l="1"/>
  <c r="AM13" i="1" s="1"/>
  <c r="AM14" i="1" s="1"/>
  <c r="AN11" i="1" s="1"/>
  <c r="AM15" i="1" l="1"/>
  <c r="AN13" i="1" s="1"/>
  <c r="AN14" i="1" s="1"/>
  <c r="AO11" i="1" s="1"/>
  <c r="AN15" i="1" s="1"/>
  <c r="AO13" i="1" l="1"/>
  <c r="AO14" i="1" s="1"/>
  <c r="AP11" i="1" s="1"/>
  <c r="AO15" i="1" l="1"/>
  <c r="AP13" i="1" s="1"/>
  <c r="AP14" i="1" s="1"/>
  <c r="AQ11" i="1" s="1"/>
  <c r="AP15" i="1" l="1"/>
  <c r="AQ13" i="1" s="1"/>
  <c r="AQ14" i="1" s="1"/>
  <c r="AR11" i="1" s="1"/>
  <c r="AQ15" i="1" l="1"/>
  <c r="AR13" i="1" s="1"/>
  <c r="AR14" i="1" s="1"/>
  <c r="AS11" i="1" s="1"/>
  <c r="AR15" i="1" l="1"/>
  <c r="AS13" i="1" s="1"/>
  <c r="AS14" i="1" s="1"/>
  <c r="AT11" i="1" s="1"/>
  <c r="AS15" i="1" l="1"/>
  <c r="AT13" i="1" s="1"/>
  <c r="AT14" i="1" s="1"/>
  <c r="AU11" i="1" s="1"/>
  <c r="AT15" i="1" l="1"/>
  <c r="AU13" i="1" s="1"/>
  <c r="AU14" i="1" s="1"/>
  <c r="AV11" i="1" s="1"/>
  <c r="AU15" i="1" l="1"/>
  <c r="AV13" i="1" s="1"/>
  <c r="AV14" i="1" s="1"/>
  <c r="AW11" i="1" s="1"/>
  <c r="AV15" i="1" l="1"/>
  <c r="AW13" i="1" s="1"/>
  <c r="AW14" i="1" s="1"/>
  <c r="AX11" i="1" s="1"/>
  <c r="AW15" i="1" l="1"/>
  <c r="AX13" i="1" s="1"/>
  <c r="AX14" i="1" s="1"/>
  <c r="AY11" i="1" s="1"/>
  <c r="AX15" i="1" l="1"/>
  <c r="AY13" i="1" s="1"/>
  <c r="AY14" i="1" s="1"/>
  <c r="AZ11" i="1" s="1"/>
  <c r="AY15" i="1" l="1"/>
  <c r="AZ13" i="1" s="1"/>
  <c r="AZ14" i="1" s="1"/>
  <c r="BA11" i="1" s="1"/>
  <c r="AZ15" i="1" l="1"/>
  <c r="BA13" i="1" s="1"/>
  <c r="BA14" i="1" s="1"/>
  <c r="BB11" i="1" s="1"/>
  <c r="BA15" i="1" l="1"/>
  <c r="BB13" i="1" s="1"/>
  <c r="BB14" i="1" s="1"/>
  <c r="BC11" i="1" s="1"/>
  <c r="BB15" i="1" l="1"/>
  <c r="BC13" i="1" s="1"/>
  <c r="BC14" i="1" s="1"/>
  <c r="BD11" i="1" s="1"/>
  <c r="BC15" i="1" l="1"/>
  <c r="BD13" i="1" s="1"/>
  <c r="BD14" i="1" s="1"/>
  <c r="BE11" i="1" s="1"/>
  <c r="BD15" i="1" l="1"/>
  <c r="BE13" i="1" s="1"/>
  <c r="BE14" i="1" s="1"/>
  <c r="BF11" i="1" s="1"/>
  <c r="BE15" i="1" l="1"/>
  <c r="BF13" i="1" s="1"/>
  <c r="BF14" i="1" s="1"/>
  <c r="BG11" i="1" s="1"/>
  <c r="BF15" i="1" l="1"/>
  <c r="BG13" i="1" s="1"/>
  <c r="BG14" i="1" s="1"/>
  <c r="BH11" i="1" s="1"/>
  <c r="BG15" i="1" l="1"/>
  <c r="BH13" i="1" s="1"/>
  <c r="BH14" i="1" s="1"/>
  <c r="BI11" i="1" s="1"/>
  <c r="BH15" i="1" l="1"/>
  <c r="BI13" i="1" s="1"/>
  <c r="BI14" i="1" s="1"/>
  <c r="BJ11" i="1" s="1"/>
  <c r="BI15" i="1" l="1"/>
  <c r="BJ13" i="1" s="1"/>
  <c r="BJ14" i="1" s="1"/>
  <c r="BK11" i="1" s="1"/>
  <c r="BJ15" i="1" l="1"/>
  <c r="BK13" i="1" s="1"/>
  <c r="BK14" i="1" s="1"/>
  <c r="BL11" i="1" s="1"/>
  <c r="BK15" i="1" l="1"/>
  <c r="BL13" i="1" s="1"/>
  <c r="BL14" i="1" s="1"/>
  <c r="BM11" i="1" s="1"/>
  <c r="BL15" i="1" l="1"/>
  <c r="BM13" i="1" s="1"/>
  <c r="BM14" i="1" s="1"/>
  <c r="BN11" i="1" s="1"/>
  <c r="BM15" i="1" l="1"/>
  <c r="BN13" i="1" s="1"/>
  <c r="BN14" i="1" s="1"/>
  <c r="BO11" i="1" s="1"/>
  <c r="BN15" i="1" l="1"/>
  <c r="BO13" i="1" s="1"/>
  <c r="BO14" i="1" s="1"/>
  <c r="BP11" i="1" s="1"/>
  <c r="BO15" i="1" l="1"/>
  <c r="BP13" i="1" s="1"/>
  <c r="BP14" i="1" s="1"/>
  <c r="BQ11" i="1" s="1"/>
  <c r="BP15" i="1" l="1"/>
  <c r="BQ13" i="1" s="1"/>
  <c r="BQ14" i="1" s="1"/>
  <c r="BR11" i="1" s="1"/>
  <c r="BQ15" i="1" l="1"/>
  <c r="BR13" i="1" s="1"/>
  <c r="BR14" i="1" s="1"/>
  <c r="BS11" i="1" s="1"/>
  <c r="BR15" i="1" l="1"/>
  <c r="BS13" i="1" s="1"/>
  <c r="BS14" i="1" s="1"/>
  <c r="BT11" i="1" s="1"/>
  <c r="BS15" i="1" l="1"/>
  <c r="BT13" i="1" s="1"/>
  <c r="BT14" i="1" s="1"/>
  <c r="BU11" i="1" s="1"/>
  <c r="BT15" i="1" l="1"/>
  <c r="BU13" i="1" s="1"/>
  <c r="BU14" i="1" s="1"/>
  <c r="BV11" i="1" s="1"/>
  <c r="BU15" i="1" l="1"/>
  <c r="BV13" i="1" s="1"/>
  <c r="BV14" i="1" s="1"/>
  <c r="BW11" i="1" s="1"/>
  <c r="BV15" i="1" l="1"/>
  <c r="BW13" i="1" s="1"/>
  <c r="BW14" i="1" s="1"/>
  <c r="BS29" i="1"/>
  <c r="Z27" i="1"/>
  <c r="Z28" i="1" s="1"/>
  <c r="AA27" i="1"/>
  <c r="AB27" i="1"/>
  <c r="BR29" i="1"/>
  <c r="AA25" i="1" l="1"/>
  <c r="AA28" i="1"/>
  <c r="BQ29" i="1"/>
  <c r="AB28" i="1" l="1"/>
  <c r="AB25" i="1"/>
  <c r="AC25" i="1" l="1"/>
  <c r="AC27" i="1" s="1"/>
  <c r="AC28" i="1" s="1"/>
  <c r="AD25" i="1" l="1"/>
  <c r="AD27" i="1" s="1"/>
  <c r="AD28" i="1" s="1"/>
  <c r="AE25" i="1" l="1"/>
  <c r="BP29" i="1"/>
  <c r="AE27" i="1"/>
  <c r="AE28" i="1" s="1"/>
  <c r="AF25" i="1" s="1"/>
  <c r="AF27" i="1"/>
  <c r="AG27" i="1"/>
  <c r="AH27" i="1"/>
  <c r="AI27" i="1"/>
  <c r="BO29" i="1"/>
  <c r="BN29" i="1"/>
  <c r="BM29" i="1"/>
  <c r="BL29" i="1"/>
  <c r="AF28" i="1" l="1"/>
  <c r="AG25" i="1" s="1"/>
  <c r="AG28" i="1" l="1"/>
  <c r="AH25" i="1" l="1"/>
  <c r="AH28" i="1"/>
  <c r="BK29" i="1"/>
  <c r="AJ27" i="1"/>
  <c r="AI28" i="1" l="1"/>
  <c r="AJ25" i="1" s="1"/>
  <c r="AI25" i="1"/>
  <c r="AJ28" i="1" l="1"/>
  <c r="AK25" i="1" s="1"/>
  <c r="X29" i="1" s="1"/>
  <c r="AK27" i="1" s="1"/>
  <c r="AK28" i="1" s="1"/>
  <c r="AL25" i="1" s="1"/>
  <c r="Y29" i="1" s="1"/>
  <c r="AL27" i="1" s="1"/>
  <c r="AL28" i="1" s="1"/>
  <c r="AM25" i="1" s="1"/>
  <c r="Z29" i="1" s="1"/>
  <c r="AM27" i="1" s="1"/>
  <c r="AM28" i="1" s="1"/>
  <c r="AN25" i="1" l="1"/>
  <c r="AA29" i="1" s="1"/>
  <c r="AN27" i="1" s="1"/>
  <c r="AN28" i="1" s="1"/>
  <c r="AO25" i="1" l="1"/>
  <c r="AB29" i="1" s="1"/>
  <c r="AO27" i="1" s="1"/>
  <c r="AO28" i="1" s="1"/>
  <c r="AP25" i="1" l="1"/>
  <c r="AC29" i="1" s="1"/>
  <c r="AP27" i="1" s="1"/>
  <c r="AP28" i="1" s="1"/>
  <c r="AQ25" i="1" l="1"/>
  <c r="AD29" i="1" s="1"/>
  <c r="AQ27" i="1" s="1"/>
  <c r="AQ28" i="1" s="1"/>
  <c r="AR25" i="1" l="1"/>
  <c r="AE29" i="1" s="1"/>
  <c r="AR27" i="1" s="1"/>
  <c r="AR28" i="1" s="1"/>
  <c r="AS25" i="1" l="1"/>
  <c r="AF29" i="1" s="1"/>
  <c r="AS27" i="1" s="1"/>
  <c r="AS28" i="1" s="1"/>
  <c r="AT25" i="1" l="1"/>
  <c r="AG29" i="1" s="1"/>
  <c r="AT27" i="1" s="1"/>
  <c r="AT28" i="1" s="1"/>
  <c r="AU25" i="1" l="1"/>
  <c r="AH29" i="1" s="1"/>
  <c r="AU27" i="1" s="1"/>
  <c r="AU28" i="1" s="1"/>
  <c r="AV25" i="1" l="1"/>
  <c r="AI29" i="1" s="1"/>
  <c r="AV27" i="1" s="1"/>
  <c r="AV28" i="1" s="1"/>
  <c r="AW25" i="1" l="1"/>
  <c r="AJ29" i="1" s="1"/>
  <c r="AW27" i="1" s="1"/>
  <c r="AW28" i="1" s="1"/>
  <c r="AX25" i="1" l="1"/>
  <c r="AK29" i="1" s="1"/>
  <c r="AX27" i="1" s="1"/>
  <c r="AX28" i="1" s="1"/>
  <c r="AY25" i="1" l="1"/>
  <c r="AL29" i="1" s="1"/>
  <c r="AY27" i="1" s="1"/>
  <c r="AY28" i="1" s="1"/>
  <c r="AZ25" i="1" l="1"/>
  <c r="AM29" i="1" s="1"/>
  <c r="AZ27" i="1" s="1"/>
  <c r="AZ28" i="1" s="1"/>
  <c r="BA25" i="1" l="1"/>
  <c r="AN29" i="1" s="1"/>
  <c r="BA27" i="1" s="1"/>
  <c r="BA28" i="1" s="1"/>
  <c r="BB25" i="1" l="1"/>
  <c r="AO29" i="1" s="1"/>
  <c r="BB27" i="1" s="1"/>
  <c r="BB28" i="1" s="1"/>
  <c r="BC25" i="1" l="1"/>
  <c r="AP29" i="1" s="1"/>
  <c r="BC27" i="1" s="1"/>
  <c r="BC28" i="1" s="1"/>
  <c r="BD25" i="1" l="1"/>
  <c r="AQ29" i="1" s="1"/>
  <c r="BD27" i="1" s="1"/>
  <c r="BD28" i="1" s="1"/>
  <c r="BE25" i="1" l="1"/>
  <c r="AR29" i="1" s="1"/>
  <c r="BE27" i="1" s="1"/>
  <c r="BE28" i="1" s="1"/>
  <c r="BF25" i="1" l="1"/>
  <c r="AS29" i="1" s="1"/>
  <c r="BF27" i="1" s="1"/>
  <c r="BF28" i="1" s="1"/>
  <c r="BG25" i="1" l="1"/>
  <c r="AT29" i="1" s="1"/>
  <c r="BG27" i="1" s="1"/>
  <c r="BG28" i="1" s="1"/>
  <c r="BH25" i="1" l="1"/>
  <c r="AU29" i="1" s="1"/>
  <c r="BH27" i="1" s="1"/>
  <c r="BH28" i="1" s="1"/>
  <c r="BI25" i="1" l="1"/>
  <c r="AV29" i="1" s="1"/>
  <c r="BI27" i="1" s="1"/>
  <c r="BI28" i="1" s="1"/>
  <c r="BJ25" i="1" l="1"/>
  <c r="AW29" i="1" s="1"/>
  <c r="BJ27" i="1" s="1"/>
  <c r="BJ28" i="1" s="1"/>
  <c r="BK25" i="1" l="1"/>
  <c r="AX29" i="1" s="1"/>
  <c r="BK27" i="1" s="1"/>
  <c r="BK28" i="1" s="1"/>
  <c r="BL25" i="1" l="1"/>
  <c r="AY29" i="1" s="1"/>
  <c r="BL27" i="1" s="1"/>
  <c r="BL28" i="1" s="1"/>
  <c r="BM25" i="1" l="1"/>
  <c r="AZ29" i="1" s="1"/>
  <c r="BM27" i="1" s="1"/>
  <c r="BM28" i="1" s="1"/>
  <c r="BN25" i="1" l="1"/>
  <c r="BA29" i="1" s="1"/>
  <c r="BN27" i="1" s="1"/>
  <c r="BN28" i="1" s="1"/>
  <c r="BO25" i="1" l="1"/>
  <c r="BB29" i="1" s="1"/>
  <c r="BO27" i="1" s="1"/>
  <c r="BO28" i="1" s="1"/>
  <c r="BP25" i="1" l="1"/>
  <c r="BC29" i="1" s="1"/>
  <c r="BP27" i="1" s="1"/>
  <c r="BP28" i="1" s="1"/>
  <c r="BQ25" i="1" l="1"/>
  <c r="BD29" i="1" s="1"/>
  <c r="BQ27" i="1" s="1"/>
  <c r="BQ28" i="1" s="1"/>
  <c r="BR25" i="1" l="1"/>
  <c r="BE29" i="1" s="1"/>
  <c r="BR27" i="1" s="1"/>
  <c r="BR28" i="1" s="1"/>
  <c r="BS25" i="1" l="1"/>
  <c r="BF29" i="1" s="1"/>
  <c r="BS27" i="1" s="1"/>
  <c r="BS28" i="1" s="1"/>
  <c r="BT25" i="1" l="1"/>
  <c r="BG29" i="1" s="1"/>
  <c r="BT27" i="1" s="1"/>
  <c r="BT28" i="1" s="1"/>
  <c r="BU25" i="1" l="1"/>
  <c r="BH29" i="1" s="1"/>
  <c r="BU27" i="1" s="1"/>
  <c r="BU28" i="1" s="1"/>
  <c r="BV25" i="1" l="1"/>
  <c r="BI29" i="1" s="1"/>
  <c r="BV27" i="1" s="1"/>
  <c r="BV28" i="1" s="1"/>
  <c r="BW25" i="1" l="1"/>
  <c r="BJ29" i="1" s="1"/>
  <c r="BW27" i="1" s="1"/>
  <c r="BW28" i="1" s="1"/>
  <c r="AB20" i="1"/>
  <c r="AB21" i="1" s="1"/>
  <c r="AC18" i="1" s="1"/>
  <c r="AC20" i="1"/>
  <c r="BS22" i="1"/>
  <c r="BR22" i="1"/>
  <c r="BQ22" i="1"/>
  <c r="BP22" i="1"/>
  <c r="BO22" i="1"/>
  <c r="BN22" i="1"/>
  <c r="BM22" i="1"/>
  <c r="BL22" i="1"/>
  <c r="BK22" i="1"/>
  <c r="AC21" i="1" l="1"/>
  <c r="AD18" i="1" s="1"/>
  <c r="AD21" i="1" l="1"/>
  <c r="AE18" i="1"/>
  <c r="AE21" i="1"/>
  <c r="AF21" i="1" l="1"/>
  <c r="AF18" i="1"/>
  <c r="AG21" i="1" l="1"/>
  <c r="AG18" i="1"/>
  <c r="AH21" i="1" l="1"/>
  <c r="AH18" i="1"/>
  <c r="AI18" i="1" l="1"/>
  <c r="AI21" i="1"/>
  <c r="AJ18" i="1" l="1"/>
  <c r="AJ21" i="1"/>
  <c r="AK18" i="1" s="1"/>
  <c r="X22" i="1" s="1"/>
  <c r="AK20" i="1" s="1"/>
  <c r="AK21" i="1" s="1"/>
  <c r="AL18" i="1" l="1"/>
  <c r="Y22" i="1" s="1"/>
  <c r="AL20" i="1" s="1"/>
  <c r="AL21" i="1" s="1"/>
  <c r="AM18" i="1" s="1"/>
  <c r="Z22" i="1" s="1"/>
  <c r="AM20" i="1" s="1"/>
  <c r="AM21" i="1" s="1"/>
  <c r="AN18" i="1" l="1"/>
  <c r="AA22" i="1" s="1"/>
  <c r="AN20" i="1" s="1"/>
  <c r="AN21" i="1" s="1"/>
  <c r="AO18" i="1" l="1"/>
  <c r="AB22" i="1" s="1"/>
  <c r="AO20" i="1" s="1"/>
  <c r="AO21" i="1" s="1"/>
  <c r="AP18" i="1" s="1"/>
  <c r="AC22" i="1" s="1"/>
  <c r="AP20" i="1" s="1"/>
  <c r="AP21" i="1" s="1"/>
  <c r="AQ18" i="1" l="1"/>
  <c r="AD22" i="1" s="1"/>
  <c r="AQ20" i="1" s="1"/>
  <c r="AQ21" i="1" s="1"/>
  <c r="AR18" i="1" s="1"/>
  <c r="AE22" i="1" s="1"/>
  <c r="AR20" i="1" s="1"/>
  <c r="AR21" i="1" s="1"/>
  <c r="AS18" i="1" l="1"/>
  <c r="AF22" i="1" s="1"/>
  <c r="AS20" i="1" s="1"/>
  <c r="AS21" i="1" s="1"/>
  <c r="AT18" i="1" l="1"/>
  <c r="AG22" i="1" s="1"/>
  <c r="AT20" i="1" s="1"/>
  <c r="AT21" i="1" s="1"/>
  <c r="AU18" i="1" l="1"/>
  <c r="AH22" i="1" s="1"/>
  <c r="AU20" i="1" s="1"/>
  <c r="AU21" i="1" s="1"/>
  <c r="AV18" i="1" l="1"/>
  <c r="AI22" i="1" s="1"/>
  <c r="AV20" i="1" s="1"/>
  <c r="AV21" i="1" s="1"/>
  <c r="AW18" i="1" l="1"/>
  <c r="AJ22" i="1" s="1"/>
  <c r="AW20" i="1" s="1"/>
  <c r="AW21" i="1" s="1"/>
  <c r="AX18" i="1" l="1"/>
  <c r="AK22" i="1" s="1"/>
  <c r="AX20" i="1" s="1"/>
  <c r="AX21" i="1" s="1"/>
  <c r="AY18" i="1" l="1"/>
  <c r="AL22" i="1" s="1"/>
  <c r="AY20" i="1" s="1"/>
  <c r="AY21" i="1" s="1"/>
  <c r="AZ18" i="1" l="1"/>
  <c r="AM22" i="1" s="1"/>
  <c r="AZ20" i="1" s="1"/>
  <c r="AZ21" i="1" s="1"/>
  <c r="BA18" i="1" l="1"/>
  <c r="AN22" i="1" s="1"/>
  <c r="BA20" i="1" s="1"/>
  <c r="BA21" i="1" s="1"/>
  <c r="BB18" i="1" l="1"/>
  <c r="AO22" i="1" s="1"/>
  <c r="BB20" i="1" s="1"/>
  <c r="BB21" i="1" s="1"/>
  <c r="BC18" i="1" l="1"/>
  <c r="AP22" i="1" s="1"/>
  <c r="BC20" i="1" s="1"/>
  <c r="BC21" i="1" s="1"/>
  <c r="BD18" i="1" l="1"/>
  <c r="AQ22" i="1" s="1"/>
  <c r="BD20" i="1" s="1"/>
  <c r="BD21" i="1" s="1"/>
  <c r="BE18" i="1" l="1"/>
  <c r="AR22" i="1" s="1"/>
  <c r="BE20" i="1" s="1"/>
  <c r="BE21" i="1" s="1"/>
  <c r="BF18" i="1" l="1"/>
  <c r="AS22" i="1" s="1"/>
  <c r="BF20" i="1" s="1"/>
  <c r="BF21" i="1" s="1"/>
  <c r="BG18" i="1" l="1"/>
  <c r="AT22" i="1" s="1"/>
  <c r="BG20" i="1" s="1"/>
  <c r="BG21" i="1" s="1"/>
  <c r="BH18" i="1" l="1"/>
  <c r="AU22" i="1" s="1"/>
  <c r="BH20" i="1" s="1"/>
  <c r="BH21" i="1" s="1"/>
  <c r="BI18" i="1" l="1"/>
  <c r="AV22" i="1" s="1"/>
  <c r="BI20" i="1" s="1"/>
  <c r="BI21" i="1" s="1"/>
  <c r="BJ18" i="1" l="1"/>
  <c r="AW22" i="1" s="1"/>
  <c r="BJ20" i="1" s="1"/>
  <c r="BJ21" i="1" s="1"/>
  <c r="BK18" i="1" l="1"/>
  <c r="AX22" i="1" s="1"/>
  <c r="BK20" i="1" s="1"/>
  <c r="BK21" i="1" s="1"/>
  <c r="BL18" i="1" l="1"/>
  <c r="AY22" i="1" s="1"/>
  <c r="BL20" i="1" s="1"/>
  <c r="BL21" i="1" s="1"/>
  <c r="BM18" i="1" l="1"/>
  <c r="AZ22" i="1" s="1"/>
  <c r="BM20" i="1" s="1"/>
  <c r="BM21" i="1" s="1"/>
  <c r="BN18" i="1" l="1"/>
  <c r="BA22" i="1" s="1"/>
  <c r="BN20" i="1" s="1"/>
  <c r="BN21" i="1" s="1"/>
  <c r="BO18" i="1" l="1"/>
  <c r="BB22" i="1" s="1"/>
  <c r="BO20" i="1" s="1"/>
  <c r="BO21" i="1" s="1"/>
  <c r="BP18" i="1" l="1"/>
  <c r="BC22" i="1" s="1"/>
  <c r="BP20" i="1" s="1"/>
  <c r="BP21" i="1" s="1"/>
  <c r="BQ18" i="1" l="1"/>
  <c r="BD22" i="1" s="1"/>
  <c r="BQ20" i="1" s="1"/>
  <c r="BQ21" i="1" s="1"/>
  <c r="BR18" i="1" l="1"/>
  <c r="BE22" i="1" s="1"/>
  <c r="BR20" i="1" s="1"/>
  <c r="BR21" i="1" s="1"/>
  <c r="BS18" i="1" l="1"/>
  <c r="BF22" i="1" s="1"/>
  <c r="BS20" i="1" s="1"/>
  <c r="BS21" i="1" s="1"/>
  <c r="BT18" i="1" l="1"/>
  <c r="BG22" i="1" s="1"/>
  <c r="BT20" i="1" s="1"/>
  <c r="BT21" i="1" s="1"/>
  <c r="BU18" i="1" l="1"/>
  <c r="BH22" i="1" s="1"/>
  <c r="BU20" i="1" s="1"/>
  <c r="BU21" i="1" s="1"/>
  <c r="BV18" i="1" l="1"/>
  <c r="BI22" i="1" s="1"/>
  <c r="BV20" i="1" s="1"/>
  <c r="BV21" i="1" s="1"/>
  <c r="BW18" i="1" l="1"/>
  <c r="BJ22" i="1" s="1"/>
  <c r="BW20" i="1" s="1"/>
  <c r="BW21" i="1" s="1"/>
</calcChain>
</file>

<file path=xl/sharedStrings.xml><?xml version="1.0" encoding="utf-8"?>
<sst xmlns="http://schemas.openxmlformats.org/spreadsheetml/2006/main" count="117" uniqueCount="72">
  <si>
    <t>Ref</t>
  </si>
  <si>
    <t>besoin</t>
  </si>
  <si>
    <t>livraison</t>
  </si>
  <si>
    <t>stock</t>
  </si>
  <si>
    <t>LT</t>
  </si>
  <si>
    <t>Date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</si>
  <si>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</si>
  <si>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</si>
  <si>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</si>
  <si>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</si>
  <si>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</si>
  <si>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</si>
  <si>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</si>
  <si>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</si>
  <si>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</si>
  <si>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</si>
  <si>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commande</t>
  </si>
  <si>
    <t>Besoin net</t>
  </si>
  <si>
    <t>S52</t>
  </si>
  <si>
    <t>S5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</si>
  <si>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</si>
  <si>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</si>
  <si>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</si>
  <si>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</si>
  <si>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</si>
  <si>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</si>
  <si>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</si>
  <si>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</si>
  <si>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</si>
  <si>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</si>
  <si>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S1</t>
  </si>
  <si>
    <t>S2</t>
  </si>
  <si>
    <t>"</t>
  </si>
  <si>
    <t>S3</t>
  </si>
  <si>
    <t>S4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</si>
  <si>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</si>
  <si>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</si>
  <si>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</si>
  <si>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</si>
  <si>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</si>
  <si>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</si>
  <si>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</si>
  <si>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</si>
  <si>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</si>
  <si>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</si>
  <si>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</si>
  <si>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</si>
  <si>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</si>
  <si>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</si>
  <si>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</si>
  <si>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</si>
  <si>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</si>
  <si>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</si>
  <si>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</si>
  <si>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</si>
  <si>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</si>
  <si>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</si>
  <si>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</si>
  <si>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</si>
  <si>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</si>
  <si>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</si>
  <si>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PRO AP INV 410V 550A IVECO
7990095AD</t>
  </si>
  <si>
    <t>PRO AP INV 410V 550A EPTO
7990096AC</t>
  </si>
  <si>
    <t>AP MOTOR 110KW 250NM EPTO
7990099AA</t>
  </si>
  <si>
    <t>SUZZARA</t>
  </si>
  <si>
    <t>BRESCIA</t>
  </si>
  <si>
    <t>TURIN</t>
  </si>
  <si>
    <t>Actia</t>
  </si>
  <si>
    <t>JJE</t>
  </si>
  <si>
    <t>order type update!</t>
  </si>
  <si>
    <t>1.</t>
  </si>
  <si>
    <t>MOTORE TRIFASE
7990101AA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</si>
</sst>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4" fillId="2" borderId="9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164" fontId="4" fillId="3" borderId="5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center" vertical="center" wrapText="1"/>
    </xf>
    <xf numFmtId="164" fontId="4" fillId="4" borderId="11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4" fillId="6" borderId="6" xfId="0" applyNumberFormat="1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6" xfId="0" applyNumberFormat="1" applyFont="1" applyFill="1" applyBorder="1" applyAlignment="1">
      <alignment horizontal="center"/>
    </xf>
    <xf numFmtId="164" fontId="4" fillId="6" borderId="7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164" fontId="4" fillId="7" borderId="6" xfId="0" applyNumberFormat="1" applyFont="1" applyFill="1" applyBorder="1" applyAlignment="1">
      <alignment horizontal="center" vertical="center"/>
    </xf>
    <xf numFmtId="164" fontId="4" fillId="7" borderId="8" xfId="0" applyNumberFormat="1" applyFont="1" applyFill="1" applyBorder="1" applyAlignment="1">
      <alignment horizontal="center" vertical="center"/>
    </xf>
    <xf numFmtId="164" fontId="4" fillId="7" borderId="6" xfId="0" applyNumberFormat="1" applyFont="1" applyFill="1" applyBorder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164" fontId="4" fillId="3" borderId="9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2130-B64A-43A7-B355-1203C2985404}">
  <dimension ref="A1:BW52"/>
  <sheetViews>
    <sheetView tabSelected="1" zoomScale="60" zoomScaleNormal="60" workbookViewId="0">
      <selection activeCell="AH17" sqref="AH17"/>
    </sheetView>
  </sheetViews>
  <sheetFormatPr baseColWidth="10" defaultRowHeight="15.75" x14ac:dyDescent="0.25"/>
  <cols>
    <col min="1" max="1" width="11.42578125" style="12"/>
    <col min="2" max="2" width="37.42578125" style="12" bestFit="1" customWidth="1"/>
    <col min="3" max="23" width="11.42578125" style="1" hidden="1" customWidth="1"/>
    <col min="24" max="25" width="11.42578125" style="1" customWidth="1"/>
    <col min="26" max="16384" width="11.42578125" style="1"/>
  </cols>
  <sheetData>
    <row r="1" spans="1:75" ht="18.75" x14ac:dyDescent="0.3">
      <c r="A1" s="49" t="s">
        <v>5</v>
      </c>
      <c r="B1" s="50"/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20</v>
      </c>
      <c r="Q1" s="4" t="s">
        <v>21</v>
      </c>
      <c r="R1" s="3" t="s">
        <v>22</v>
      </c>
      <c r="S1" s="4" t="s">
        <v>23</v>
      </c>
      <c r="T1" s="3" t="s">
        <v>24</v>
      </c>
      <c r="U1" s="4" t="s">
        <v>25</v>
      </c>
      <c r="V1" s="3" t="s">
        <v>26</v>
      </c>
      <c r="W1" s="7" t="s">
        <v>27</v>
      </c>
      <c r="X1" s="6" t="s">
        <v>28</v>
      </c>
      <c r="Y1" s="7" t="s">
        <v>29</v>
      </c>
      <c r="Z1" s="6" t="s">
        <v>6</v>
      </c>
      <c r="AA1" s="7" t="s">
        <v>7</v>
      </c>
      <c r="AB1" s="6" t="s">
        <v>8</v>
      </c>
      <c r="AC1" s="7" t="s">
        <v>9</v>
      </c>
      <c r="AD1" s="6" t="s">
        <v>10</v>
      </c>
      <c r="AE1" s="7" t="s">
        <v>11</v>
      </c>
      <c r="AF1" s="6" t="s">
        <v>12</v>
      </c>
      <c r="AG1" s="7" t="s">
        <v>13</v>
      </c>
      <c r="AH1" s="6" t="s">
        <v>14</v>
      </c>
      <c r="AI1" s="7" t="s">
        <v>15</v>
      </c>
      <c r="AJ1" s="6" t="s">
        <v>18</v>
      </c>
      <c r="AK1" s="7" t="s">
        <v>30</v>
      </c>
      <c r="AL1" s="6" t="s">
        <v>31</v>
      </c>
      <c r="AM1" s="7" t="s">
        <v>33</v>
      </c>
      <c r="AN1" s="7" t="s">
        <v>34</v>
      </c>
      <c r="AO1" s="6" t="s">
        <v>19</v>
      </c>
      <c r="AP1" s="7" t="s">
        <v>35</v>
      </c>
      <c r="AQ1" s="7" t="s">
        <v>36</v>
      </c>
      <c r="AR1" s="6" t="s">
        <v>37</v>
      </c>
      <c r="AS1" s="7" t="s">
        <v>38</v>
      </c>
      <c r="AT1" s="7" t="s">
        <v>39</v>
      </c>
      <c r="AU1" s="6" t="s">
        <v>40</v>
      </c>
      <c r="AV1" s="7" t="s">
        <v>41</v>
      </c>
      <c r="AW1" s="7" t="s">
        <v>42</v>
      </c>
      <c r="AX1" s="6" t="s">
        <v>43</v>
      </c>
      <c r="AY1" s="7" t="s">
        <v>44</v>
      </c>
      <c r="AZ1" s="7" t="s">
        <v>45</v>
      </c>
      <c r="BA1" s="6" t="s">
        <v>46</v>
      </c>
      <c r="BB1" s="7" t="s">
        <v>47</v>
      </c>
      <c r="BC1" s="7" t="s">
        <v>48</v>
      </c>
      <c r="BD1" s="6" t="s">
        <v>49</v>
      </c>
      <c r="BE1" s="7" t="s">
        <v>50</v>
      </c>
      <c r="BF1" s="7" t="s">
        <v>51</v>
      </c>
      <c r="BG1" s="6" t="s">
        <v>52</v>
      </c>
      <c r="BH1" s="7" t="s">
        <v>53</v>
      </c>
      <c r="BI1" s="7" t="s">
        <v>54</v>
      </c>
      <c r="BJ1" s="6" t="s">
        <v>55</v>
      </c>
      <c r="BK1" s="7" t="s">
        <v>56</v>
      </c>
      <c r="BL1" s="7" t="s">
        <v>57</v>
      </c>
      <c r="BM1" s="6" t="s">
        <v>58</v>
      </c>
      <c r="BN1" s="7" t="s">
        <v>59</v>
      </c>
      <c r="BO1" s="7" t="s">
        <v>60</v>
      </c>
      <c r="BP1" s="6" t="s">
        <v>20</v>
      </c>
      <c r="BQ1" s="7" t="s">
        <v>21</v>
      </c>
      <c r="BR1" s="7" t="s">
        <v>22</v>
      </c>
      <c r="BS1" s="6" t="s">
        <v>23</v>
      </c>
      <c r="BT1" s="7" t="s">
        <v>24</v>
      </c>
      <c r="BU1" s="7" t="s">
        <v>25</v>
      </c>
      <c r="BV1" s="6" t="s">
        <v>26</v>
      </c>
      <c r="BW1" s="7" t="s">
        <v>27</v>
      </c>
    </row>
    <row r="2" spans="1:75" ht="37.5" x14ac:dyDescent="0.3">
      <c r="A2" s="22" t="s">
        <v>0</v>
      </c>
      <c r="B2" s="24" t="s">
        <v>61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6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8"/>
    </row>
    <row r="3" spans="1:75" ht="18.75" x14ac:dyDescent="0.3">
      <c r="A3" s="22" t="s">
        <v>4</v>
      </c>
      <c r="B3" s="23">
        <v>1</v>
      </c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5"/>
    </row>
    <row r="4" spans="1:75" ht="18.75" x14ac:dyDescent="0.3">
      <c r="A4" s="25" t="s">
        <v>67</v>
      </c>
      <c r="B4" s="26" t="s">
        <v>17</v>
      </c>
      <c r="C4" s="3">
        <f>IF(C5-B7&lt;0,0,C5-B7)</f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>
        <f>IF(Q5-C7&lt;0,0,Q5-C7)</f>
        <v>0</v>
      </c>
      <c r="R4" s="4">
        <f t="shared" ref="R4" si="0">IF(R5-Q7&lt;0,0,R5-Q7)</f>
        <v>0</v>
      </c>
      <c r="S4" s="4">
        <f>IF(S5-R7&lt;0,0,S5-R7)</f>
        <v>0</v>
      </c>
      <c r="T4" s="4">
        <f t="shared" ref="T4:Y4" si="1">IF(T5-S7&lt;0,0,T5-S7)</f>
        <v>0</v>
      </c>
      <c r="U4" s="4">
        <f t="shared" si="1"/>
        <v>0</v>
      </c>
      <c r="V4" s="4">
        <f t="shared" si="1"/>
        <v>0</v>
      </c>
      <c r="W4" s="14">
        <f t="shared" si="1"/>
        <v>0</v>
      </c>
      <c r="X4" s="14">
        <f t="shared" si="1"/>
        <v>0</v>
      </c>
      <c r="Y4" s="14">
        <f t="shared" si="1"/>
        <v>0</v>
      </c>
      <c r="Z4" s="14">
        <f t="shared" ref="Z4" ca="1" si="2">IF(Z5-Y7&lt;0,0,Z5-Y7)</f>
        <v>0</v>
      </c>
      <c r="AA4" s="14">
        <f t="shared" ref="AA4" ca="1" si="3">IF(AA5-Z7&lt;0,0,AA5-Z7)</f>
        <v>0</v>
      </c>
      <c r="AB4" s="14">
        <f t="shared" ref="AB4" ca="1" si="4">IF(AB5-AA7&lt;0,0,AB5-AA7)</f>
        <v>0</v>
      </c>
      <c r="AC4" s="14">
        <f t="shared" ref="AC4" ca="1" si="5">IF(AC5-AB7&lt;0,0,AC5-AB7)</f>
        <v>20</v>
      </c>
      <c r="AD4" s="14">
        <f t="shared" ref="AD4" ca="1" si="6">IF(AD5-AC7&lt;0,0,AD5-AC7)</f>
        <v>40</v>
      </c>
      <c r="AE4" s="14">
        <f t="shared" ref="AE4" ca="1" si="7">IF(AE5-AD7&lt;0,0,AE5-AD7)</f>
        <v>20</v>
      </c>
      <c r="AF4" s="14">
        <f t="shared" ref="AF4" ca="1" si="8">IF(AF5-AE7&lt;0,0,AF5-AE7)</f>
        <v>20</v>
      </c>
      <c r="AG4" s="14">
        <f t="shared" ref="AG4" ca="1" si="9">IF(AG5-AF7&lt;0,0,AG5-AF7)</f>
        <v>0</v>
      </c>
      <c r="AH4" s="14">
        <f t="shared" ref="AH4" ca="1" si="10">IF(AH5-AG7&lt;0,0,AH5-AG7)</f>
        <v>0</v>
      </c>
      <c r="AI4" s="14">
        <f t="shared" ref="AI4" ca="1" si="11">IF(AI5-AH7&lt;0,0,AI5-AH7)</f>
        <v>40</v>
      </c>
      <c r="AJ4" s="14">
        <f t="shared" ref="AJ4" ca="1" si="12">IF(AJ5-AI7&lt;0,0,AJ5-AI7)</f>
        <v>0</v>
      </c>
      <c r="AK4" s="14">
        <f t="shared" ref="AK4" ca="1" si="13">IF(AK5-AJ7&lt;0,0,AK5-AJ7)</f>
        <v>0</v>
      </c>
      <c r="AL4" s="14">
        <f t="shared" ref="AL4" ca="1" si="14">IF(AL5-AK7&lt;0,0,AL5-AK7)</f>
        <v>0</v>
      </c>
      <c r="AM4" s="14">
        <f t="shared" ref="AM4" ca="1" si="15">IF(AM5-AL7&lt;0,0,AM5-AL7)</f>
        <v>0</v>
      </c>
      <c r="AN4" s="14">
        <f t="shared" ref="AN4" ca="1" si="16">IF(AN5-AM7&lt;0,0,AN5-AM7)</f>
        <v>0</v>
      </c>
      <c r="AO4" s="14">
        <f t="shared" ref="AO4" ca="1" si="17">IF(AO5-AN7&lt;0,0,AO5-AN7)</f>
        <v>220</v>
      </c>
      <c r="AP4" s="14">
        <f t="shared" ref="AP4" ca="1" si="18">IF(AP5-AO7&lt;0,0,AP5-AO7)</f>
        <v>0</v>
      </c>
      <c r="AQ4" s="14">
        <f t="shared" ref="AQ4" ca="1" si="19">IF(AQ5-AP7&lt;0,0,AQ5-AP7)</f>
        <v>0</v>
      </c>
      <c r="AR4" s="14">
        <f t="shared" ref="AR4" ca="1" si="20">IF(AR5-AQ7&lt;0,0,AR5-AQ7)</f>
        <v>0</v>
      </c>
      <c r="AS4" s="14">
        <f t="shared" ref="AS4" ca="1" si="21">IF(AS5-AR7&lt;0,0,AS5-AR7)</f>
        <v>260</v>
      </c>
      <c r="AT4" s="14">
        <f t="shared" ref="AT4" ca="1" si="22">IF(AT5-AS7&lt;0,0,AT5-AS7)</f>
        <v>0</v>
      </c>
      <c r="AU4" s="14">
        <f t="shared" ref="AU4" ca="1" si="23">IF(AU5-AT7&lt;0,0,AU5-AT7)</f>
        <v>0</v>
      </c>
      <c r="AV4" s="14">
        <f t="shared" ref="AV4" ca="1" si="24">IF(AV5-AU7&lt;0,0,AV5-AU7)</f>
        <v>0</v>
      </c>
      <c r="AW4" s="14">
        <f t="shared" ref="AW4" ca="1" si="25">IF(AW5-AV7&lt;0,0,AW5-AV7)</f>
        <v>220</v>
      </c>
      <c r="AX4" s="14">
        <f t="shared" ref="AX4" ca="1" si="26">IF(AX5-AW7&lt;0,0,AX5-AW7)</f>
        <v>0</v>
      </c>
      <c r="AY4" s="14">
        <f t="shared" ref="AY4" ca="1" si="27">IF(AY5-AX7&lt;0,0,AY5-AX7)</f>
        <v>0</v>
      </c>
      <c r="AZ4" s="14">
        <f t="shared" ref="AZ4" ca="1" si="28">IF(AZ5-AY7&lt;0,0,AZ5-AY7)</f>
        <v>0</v>
      </c>
      <c r="BA4" s="14">
        <f t="shared" ref="BA4" ca="1" si="29">IF(BA5-AZ7&lt;0,0,BA5-AZ7)</f>
        <v>0</v>
      </c>
      <c r="BB4" s="14">
        <f t="shared" ref="BB4" ca="1" si="30">IF(BB5-BA7&lt;0,0,BB5-BA7)</f>
        <v>180</v>
      </c>
      <c r="BC4" s="14">
        <f t="shared" ref="BC4" ca="1" si="31">IF(BC5-BB7&lt;0,0,BC5-BB7)</f>
        <v>0</v>
      </c>
      <c r="BD4" s="14">
        <f t="shared" ref="BD4" ca="1" si="32">IF(BD5-BC7&lt;0,0,BD5-BC7)</f>
        <v>0</v>
      </c>
      <c r="BE4" s="14">
        <f t="shared" ref="BE4" ca="1" si="33">IF(BE5-BD7&lt;0,0,BE5-BD7)</f>
        <v>0</v>
      </c>
      <c r="BF4" s="14">
        <f t="shared" ref="BF4" ca="1" si="34">IF(BF5-BE7&lt;0,0,BF5-BE7)</f>
        <v>0</v>
      </c>
      <c r="BG4" s="14">
        <f t="shared" ref="BG4" ca="1" si="35">IF(BG5-BF7&lt;0,0,BG5-BF7)</f>
        <v>0</v>
      </c>
      <c r="BH4" s="14">
        <f t="shared" ref="BH4" ca="1" si="36">IF(BH5-BG7&lt;0,0,BH5-BG7)</f>
        <v>0</v>
      </c>
      <c r="BI4" s="14">
        <f t="shared" ref="BI4" ca="1" si="37">IF(BI5-BH7&lt;0,0,BI5-BH7)</f>
        <v>0</v>
      </c>
      <c r="BJ4" s="14">
        <f t="shared" ref="BJ4" ca="1" si="38">IF(BJ5-BI7&lt;0,0,BJ5-BI7)</f>
        <v>0</v>
      </c>
      <c r="BK4" s="14">
        <f t="shared" ref="BK4" ca="1" si="39">IF(BK5-BJ7&lt;0,0,BK5-BJ7)</f>
        <v>0</v>
      </c>
      <c r="BL4" s="14">
        <f t="shared" ref="BL4" ca="1" si="40">IF(BL5-BK7&lt;0,0,BL5-BK7)</f>
        <v>0</v>
      </c>
      <c r="BM4" s="14">
        <f t="shared" ref="BM4" ca="1" si="41">IF(BM5-BL7&lt;0,0,BM5-BL7)</f>
        <v>0</v>
      </c>
      <c r="BN4" s="14">
        <f t="shared" ref="BN4" ca="1" si="42">IF(BN5-BM7&lt;0,0,BN5-BM7)</f>
        <v>0</v>
      </c>
      <c r="BO4" s="14">
        <f t="shared" ref="BO4" ca="1" si="43">IF(BO5-BN7&lt;0,0,BO5-BN7)</f>
        <v>0</v>
      </c>
      <c r="BP4" s="14">
        <f t="shared" ref="BP4" ca="1" si="44">IF(BP5-BO7&lt;0,0,BP5-BO7)</f>
        <v>0</v>
      </c>
      <c r="BQ4" s="14">
        <f t="shared" ref="BQ4" ca="1" si="45">IF(BQ5-BP7&lt;0,0,BQ5-BP7)</f>
        <v>0</v>
      </c>
      <c r="BR4" s="14">
        <f t="shared" ref="BR4" ca="1" si="46">IF(BR5-BQ7&lt;0,0,BR5-BQ7)</f>
        <v>0</v>
      </c>
      <c r="BS4" s="14">
        <f t="shared" ref="BS4" ca="1" si="47">IF(BS5-BR7&lt;0,0,BS5-BR7)</f>
        <v>0</v>
      </c>
      <c r="BT4" s="14">
        <f t="shared" ref="BT4" ca="1" si="48">IF(BT5-BS7&lt;0,0,BT5-BS7)</f>
        <v>0</v>
      </c>
      <c r="BU4" s="14">
        <f t="shared" ref="BU4" ca="1" si="49">IF(BU5-BT7&lt;0,0,BU5-BT7)</f>
        <v>0</v>
      </c>
      <c r="BV4" s="14">
        <f t="shared" ref="BV4" ca="1" si="50">IF(BV5-BU7&lt;0,0,BV5-BU7)</f>
        <v>0</v>
      </c>
      <c r="BW4" s="15">
        <f t="shared" ref="BW4" ca="1" si="51">IF(BW5-BV7&lt;0,0,BW5-BV7)</f>
        <v>0</v>
      </c>
    </row>
    <row r="5" spans="1:75" s="2" customFormat="1" ht="18.75" x14ac:dyDescent="0.3">
      <c r="A5" s="22" t="s">
        <v>64</v>
      </c>
      <c r="B5" s="23" t="s">
        <v>1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>
        <v>40</v>
      </c>
      <c r="Y5">
        <v>40</v>
      </c>
      <c r="Z5">
        <v>60</v>
      </c>
      <c r="AA5">
        <v>60</v>
      </c>
      <c r="AB5">
        <v>60</v>
      </c>
      <c r="AC5">
        <v>40</v>
      </c>
      <c r="AD5">
        <v>40</v>
      </c>
      <c r="AE5">
        <v>20</v>
      </c>
      <c r="AF5">
        <v>20</v>
      </c>
      <c r="AG5" s="5"/>
      <c r="AH5" s="4"/>
      <c r="AI5" s="5">
        <v>40</v>
      </c>
      <c r="AJ5" s="4"/>
      <c r="AK5" s="5"/>
      <c r="AL5" s="4"/>
      <c r="AM5" s="5"/>
      <c r="AN5" s="4"/>
      <c r="AO5" s="5">
        <v>220</v>
      </c>
      <c r="AP5" s="4"/>
      <c r="AQ5" s="5"/>
      <c r="AR5" s="4"/>
      <c r="AS5" s="5">
        <v>260</v>
      </c>
      <c r="AT5" s="4"/>
      <c r="AU5" s="5"/>
      <c r="AV5" s="4"/>
      <c r="AW5" s="5">
        <v>220</v>
      </c>
      <c r="AX5" s="4"/>
      <c r="AY5" s="5"/>
      <c r="AZ5" s="4"/>
      <c r="BA5" s="5"/>
      <c r="BB5" s="4">
        <v>180</v>
      </c>
      <c r="BC5" s="5"/>
      <c r="BD5" s="4"/>
      <c r="BE5" s="5"/>
      <c r="BF5" s="4"/>
      <c r="BG5" s="5"/>
      <c r="BH5" s="4"/>
      <c r="BI5" s="5"/>
      <c r="BJ5" s="4"/>
      <c r="BK5" s="5"/>
      <c r="BL5" s="4"/>
      <c r="BM5" s="5"/>
      <c r="BN5" s="4"/>
      <c r="BO5" s="5"/>
      <c r="BP5" s="4"/>
      <c r="BQ5" s="5"/>
      <c r="BR5" s="4"/>
      <c r="BS5" s="5"/>
      <c r="BT5" s="4"/>
      <c r="BU5" s="5"/>
      <c r="BV5" s="4"/>
      <c r="BW5" s="5"/>
    </row>
    <row r="6" spans="1:75" ht="18.75" x14ac:dyDescent="0.3">
      <c r="A6" s="27"/>
      <c r="B6" s="26" t="s">
        <v>2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f t="shared" ref="Y6:AG6" ca="1" si="52">OFFSET(Y6,2,-$B3,1,1)</f>
        <v>0</v>
      </c>
      <c r="Z6" s="4">
        <f t="shared" ca="1" si="52"/>
        <v>0</v>
      </c>
      <c r="AA6" s="4">
        <f t="shared" ca="1" si="52"/>
        <v>0</v>
      </c>
      <c r="AB6" s="4">
        <f t="shared" ca="1" si="52"/>
        <v>0</v>
      </c>
      <c r="AC6" s="4">
        <f t="shared" ca="1" si="52"/>
        <v>20</v>
      </c>
      <c r="AD6" s="4">
        <f t="shared" ca="1" si="52"/>
        <v>40</v>
      </c>
      <c r="AE6" s="4">
        <f t="shared" ca="1" si="52"/>
        <v>20</v>
      </c>
      <c r="AF6" s="4">
        <f t="shared" ca="1" si="52"/>
        <v>20</v>
      </c>
      <c r="AG6" s="4">
        <f t="shared" ca="1" si="52"/>
        <v>0</v>
      </c>
      <c r="AH6" s="4">
        <f t="shared" ref="AH6:BW6" ca="1" si="53">OFFSET(AH6,2,-$B3,1,1)</f>
        <v>0</v>
      </c>
      <c r="AI6" s="4">
        <f t="shared" ca="1" si="53"/>
        <v>40</v>
      </c>
      <c r="AJ6" s="4">
        <f t="shared" ca="1" si="53"/>
        <v>0</v>
      </c>
      <c r="AK6" s="4">
        <f t="shared" ca="1" si="53"/>
        <v>0</v>
      </c>
      <c r="AL6" s="4">
        <f t="shared" ca="1" si="53"/>
        <v>0</v>
      </c>
      <c r="AM6" s="4">
        <f t="shared" ca="1" si="53"/>
        <v>0</v>
      </c>
      <c r="AN6" s="4">
        <f t="shared" ca="1" si="53"/>
        <v>0</v>
      </c>
      <c r="AO6" s="4">
        <f t="shared" ca="1" si="53"/>
        <v>220</v>
      </c>
      <c r="AP6" s="4">
        <f t="shared" ca="1" si="53"/>
        <v>0</v>
      </c>
      <c r="AQ6" s="4">
        <f t="shared" ca="1" si="53"/>
        <v>0</v>
      </c>
      <c r="AR6" s="4">
        <f t="shared" ca="1" si="53"/>
        <v>0</v>
      </c>
      <c r="AS6" s="4">
        <f t="shared" ca="1" si="53"/>
        <v>260</v>
      </c>
      <c r="AT6" s="4">
        <f t="shared" ca="1" si="53"/>
        <v>0</v>
      </c>
      <c r="AU6" s="4">
        <f t="shared" ca="1" si="53"/>
        <v>0</v>
      </c>
      <c r="AV6" s="4">
        <f t="shared" ca="1" si="53"/>
        <v>0</v>
      </c>
      <c r="AW6" s="4">
        <f t="shared" ca="1" si="53"/>
        <v>220</v>
      </c>
      <c r="AX6" s="4">
        <f t="shared" ca="1" si="53"/>
        <v>0</v>
      </c>
      <c r="AY6" s="4">
        <f t="shared" ca="1" si="53"/>
        <v>0</v>
      </c>
      <c r="AZ6" s="4">
        <f t="shared" ca="1" si="53"/>
        <v>0</v>
      </c>
      <c r="BA6" s="4">
        <f t="shared" ca="1" si="53"/>
        <v>0</v>
      </c>
      <c r="BB6" s="4">
        <f t="shared" ca="1" si="53"/>
        <v>180</v>
      </c>
      <c r="BC6" s="4">
        <f t="shared" ca="1" si="53"/>
        <v>0</v>
      </c>
      <c r="BD6" s="4">
        <f t="shared" ca="1" si="53"/>
        <v>0</v>
      </c>
      <c r="BE6" s="4">
        <f t="shared" ca="1" si="53"/>
        <v>0</v>
      </c>
      <c r="BF6" s="4">
        <f t="shared" ca="1" si="53"/>
        <v>0</v>
      </c>
      <c r="BG6" s="4">
        <f t="shared" ca="1" si="53"/>
        <v>0</v>
      </c>
      <c r="BH6" s="4">
        <f t="shared" ca="1" si="53"/>
        <v>0</v>
      </c>
      <c r="BI6" s="4">
        <f t="shared" ca="1" si="53"/>
        <v>0</v>
      </c>
      <c r="BJ6" s="4">
        <f t="shared" ca="1" si="53"/>
        <v>0</v>
      </c>
      <c r="BK6" s="4">
        <f t="shared" ca="1" si="53"/>
        <v>0</v>
      </c>
      <c r="BL6" s="4">
        <f t="shared" ca="1" si="53"/>
        <v>0</v>
      </c>
      <c r="BM6" s="4">
        <f t="shared" ca="1" si="53"/>
        <v>0</v>
      </c>
      <c r="BN6" s="4">
        <f t="shared" ca="1" si="53"/>
        <v>0</v>
      </c>
      <c r="BO6" s="4">
        <f t="shared" ca="1" si="53"/>
        <v>0</v>
      </c>
      <c r="BP6" s="4">
        <f t="shared" ca="1" si="53"/>
        <v>0</v>
      </c>
      <c r="BQ6" s="4">
        <f t="shared" ca="1" si="53"/>
        <v>0</v>
      </c>
      <c r="BR6" s="4">
        <f t="shared" ca="1" si="53"/>
        <v>0</v>
      </c>
      <c r="BS6" s="4">
        <f t="shared" ca="1" si="53"/>
        <v>0</v>
      </c>
      <c r="BT6" s="4">
        <f t="shared" ca="1" si="53"/>
        <v>0</v>
      </c>
      <c r="BU6" s="4">
        <f t="shared" ca="1" si="53"/>
        <v>0</v>
      </c>
      <c r="BV6" s="4">
        <f t="shared" ca="1" si="53"/>
        <v>0</v>
      </c>
      <c r="BW6" s="5">
        <f t="shared" ca="1" si="53"/>
        <v>0</v>
      </c>
    </row>
    <row r="7" spans="1:75" ht="18.75" x14ac:dyDescent="0.3">
      <c r="A7" s="27" t="s">
        <v>3</v>
      </c>
      <c r="B7" s="26">
        <v>280</v>
      </c>
      <c r="C7" s="9">
        <f>B7-C5+C6</f>
        <v>280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f>C7-Q5+Q6</f>
        <v>280</v>
      </c>
      <c r="R7" s="11">
        <f t="shared" ref="R7" si="54">Q7-R5+R6</f>
        <v>280</v>
      </c>
      <c r="S7" s="11">
        <f>R7-S5+S6</f>
        <v>280</v>
      </c>
      <c r="T7" s="11">
        <f t="shared" ref="T7:Y7" si="55">S7-T5+T6</f>
        <v>280</v>
      </c>
      <c r="U7" s="11">
        <f t="shared" si="55"/>
        <v>280</v>
      </c>
      <c r="V7" s="11">
        <f t="shared" si="55"/>
        <v>280</v>
      </c>
      <c r="W7" s="11">
        <f t="shared" si="55"/>
        <v>280</v>
      </c>
      <c r="X7" s="11">
        <f t="shared" si="55"/>
        <v>240</v>
      </c>
      <c r="Y7" s="10">
        <f t="shared" ca="1" si="55"/>
        <v>200</v>
      </c>
      <c r="Z7" s="11">
        <f t="shared" ref="Z7" ca="1" si="56">Y7-Z5+Z6</f>
        <v>140</v>
      </c>
      <c r="AA7" s="10">
        <f t="shared" ref="AA7" ca="1" si="57">Z7-AA5+AA6</f>
        <v>80</v>
      </c>
      <c r="AB7" s="11">
        <f t="shared" ref="AB7" ca="1" si="58">AA7-AB5+AB6</f>
        <v>20</v>
      </c>
      <c r="AC7" s="10">
        <f t="shared" ref="AC7" ca="1" si="59">AB7-AC5+AC6</f>
        <v>0</v>
      </c>
      <c r="AD7" s="11">
        <f t="shared" ref="AD7" ca="1" si="60">AC7-AD5+AD6</f>
        <v>0</v>
      </c>
      <c r="AE7" s="10">
        <f t="shared" ref="AE7" ca="1" si="61">AD7-AE5+AE6</f>
        <v>0</v>
      </c>
      <c r="AF7" s="11">
        <f t="shared" ref="AF7" ca="1" si="62">AE7-AF5+AF6</f>
        <v>0</v>
      </c>
      <c r="AG7" s="10">
        <f t="shared" ref="AG7" ca="1" si="63">AF7-AG5+AG6</f>
        <v>0</v>
      </c>
      <c r="AH7" s="11">
        <f t="shared" ref="AH7" ca="1" si="64">AG7-AH5+AH6</f>
        <v>0</v>
      </c>
      <c r="AI7" s="10">
        <f t="shared" ref="AI7" ca="1" si="65">AH7-AI5+AI6</f>
        <v>0</v>
      </c>
      <c r="AJ7" s="11">
        <f t="shared" ref="AJ7" ca="1" si="66">AI7-AJ5+AJ6</f>
        <v>0</v>
      </c>
      <c r="AK7" s="10">
        <f t="shared" ref="AK7" ca="1" si="67">AJ7-AK5+AK6</f>
        <v>0</v>
      </c>
      <c r="AL7" s="11">
        <f t="shared" ref="AL7" ca="1" si="68">AK7-AL5+AL6</f>
        <v>0</v>
      </c>
      <c r="AM7" s="10">
        <f t="shared" ref="AM7" ca="1" si="69">AL7-AM5+AM6</f>
        <v>0</v>
      </c>
      <c r="AN7" s="11">
        <f t="shared" ref="AN7" ca="1" si="70">AM7-AN5+AN6</f>
        <v>0</v>
      </c>
      <c r="AO7" s="10">
        <f t="shared" ref="AO7" ca="1" si="71">AN7-AO5+AO6</f>
        <v>0</v>
      </c>
      <c r="AP7" s="11">
        <f t="shared" ref="AP7" ca="1" si="72">AO7-AP5+AP6</f>
        <v>0</v>
      </c>
      <c r="AQ7" s="10">
        <f t="shared" ref="AQ7" ca="1" si="73">AP7-AQ5+AQ6</f>
        <v>0</v>
      </c>
      <c r="AR7" s="11">
        <f t="shared" ref="AR7" ca="1" si="74">AQ7-AR5+AR6</f>
        <v>0</v>
      </c>
      <c r="AS7" s="10">
        <f t="shared" ref="AS7" ca="1" si="75">AR7-AS5+AS6</f>
        <v>0</v>
      </c>
      <c r="AT7" s="11">
        <f t="shared" ref="AT7" ca="1" si="76">AS7-AT5+AT6</f>
        <v>0</v>
      </c>
      <c r="AU7" s="10">
        <f t="shared" ref="AU7" ca="1" si="77">AT7-AU5+AU6</f>
        <v>0</v>
      </c>
      <c r="AV7" s="11">
        <f t="shared" ref="AV7" ca="1" si="78">AU7-AV5+AV6</f>
        <v>0</v>
      </c>
      <c r="AW7" s="10">
        <f t="shared" ref="AW7" ca="1" si="79">AV7-AW5+AW6</f>
        <v>0</v>
      </c>
      <c r="AX7" s="11">
        <f t="shared" ref="AX7" ca="1" si="80">AW7-AX5+AX6</f>
        <v>0</v>
      </c>
      <c r="AY7" s="10">
        <f t="shared" ref="AY7" ca="1" si="81">AX7-AY5+AY6</f>
        <v>0</v>
      </c>
      <c r="AZ7" s="11">
        <f t="shared" ref="AZ7" ca="1" si="82">AY7-AZ5+AZ6</f>
        <v>0</v>
      </c>
      <c r="BA7" s="10">
        <f t="shared" ref="BA7" ca="1" si="83">AZ7-BA5+BA6</f>
        <v>0</v>
      </c>
      <c r="BB7" s="11">
        <f t="shared" ref="BB7" ca="1" si="84">BA7-BB5+BB6</f>
        <v>0</v>
      </c>
      <c r="BC7" s="10">
        <f t="shared" ref="BC7" ca="1" si="85">BB7-BC5+BC6</f>
        <v>0</v>
      </c>
      <c r="BD7" s="11">
        <f t="shared" ref="BD7" ca="1" si="86">BC7-BD5+BD6</f>
        <v>0</v>
      </c>
      <c r="BE7" s="10">
        <f t="shared" ref="BE7" ca="1" si="87">BD7-BE5+BE6</f>
        <v>0</v>
      </c>
      <c r="BF7" s="11">
        <f t="shared" ref="BF7" ca="1" si="88">BE7-BF5+BF6</f>
        <v>0</v>
      </c>
      <c r="BG7" s="10">
        <f t="shared" ref="BG7" ca="1" si="89">BF7-BG5+BG6</f>
        <v>0</v>
      </c>
      <c r="BH7" s="11">
        <f t="shared" ref="BH7" ca="1" si="90">BG7-BH5+BH6</f>
        <v>0</v>
      </c>
      <c r="BI7" s="10">
        <f t="shared" ref="BI7" ca="1" si="91">BH7-BI5+BI6</f>
        <v>0</v>
      </c>
      <c r="BJ7" s="11">
        <f t="shared" ref="BJ7" ca="1" si="92">BI7-BJ5+BJ6</f>
        <v>0</v>
      </c>
      <c r="BK7" s="10">
        <f t="shared" ref="BK7" ca="1" si="93">BJ7-BK5+BK6</f>
        <v>0</v>
      </c>
      <c r="BL7" s="11">
        <f t="shared" ref="BL7" ca="1" si="94">BK7-BL5+BL6</f>
        <v>0</v>
      </c>
      <c r="BM7" s="10">
        <f t="shared" ref="BM7" ca="1" si="95">BL7-BM5+BM6</f>
        <v>0</v>
      </c>
      <c r="BN7" s="11">
        <f t="shared" ref="BN7" ca="1" si="96">BM7-BN5+BN6</f>
        <v>0</v>
      </c>
      <c r="BO7" s="10">
        <f t="shared" ref="BO7" ca="1" si="97">BN7-BO5+BO6</f>
        <v>0</v>
      </c>
      <c r="BP7" s="11">
        <f t="shared" ref="BP7" ca="1" si="98">BO7-BP5+BP6</f>
        <v>0</v>
      </c>
      <c r="BQ7" s="10">
        <f t="shared" ref="BQ7" ca="1" si="99">BP7-BQ5+BQ6</f>
        <v>0</v>
      </c>
      <c r="BR7" s="11">
        <f t="shared" ref="BR7" ca="1" si="100">BQ7-BR5+BR6</f>
        <v>0</v>
      </c>
      <c r="BS7" s="10">
        <f t="shared" ref="BS7" ca="1" si="101">BR7-BS5+BS6</f>
        <v>0</v>
      </c>
      <c r="BT7" s="11">
        <f t="shared" ref="BT7" ca="1" si="102">BS7-BT5+BT6</f>
        <v>0</v>
      </c>
      <c r="BU7" s="10">
        <f t="shared" ref="BU7" ca="1" si="103">BT7-BU5+BU6</f>
        <v>0</v>
      </c>
      <c r="BV7" s="11">
        <f t="shared" ref="BV7" ca="1" si="104">BU7-BV5+BV6</f>
        <v>0</v>
      </c>
      <c r="BW7" s="10">
        <f t="shared" ref="BW7" ca="1" si="105">BV7-BW5+BW6</f>
        <v>0</v>
      </c>
    </row>
    <row r="8" spans="1:75" s="38" customFormat="1" ht="18.75" x14ac:dyDescent="0.3">
      <c r="A8" s="34"/>
      <c r="B8" s="35" t="s">
        <v>16</v>
      </c>
      <c r="C8" s="36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>
        <f ca="1">ROUNDUP(OFFSET(X8,-4,$B3,1,1)/20,)</f>
        <v>0</v>
      </c>
      <c r="Y8" s="37">
        <f t="shared" ref="Y8:AA8" ca="1" si="106">ROUNDUP(OFFSET(Y8,-4,$B3,1,1)/20,)</f>
        <v>0</v>
      </c>
      <c r="Z8" s="37">
        <f t="shared" ca="1" si="106"/>
        <v>0</v>
      </c>
      <c r="AA8" s="37">
        <f t="shared" ca="1" si="106"/>
        <v>0</v>
      </c>
      <c r="AB8" s="37">
        <f ca="1">ROUNDUP(OFFSET(AB8,-4,$B3,1,1)/20,)*20</f>
        <v>20</v>
      </c>
      <c r="AC8" s="37">
        <f t="shared" ref="AC8:BW8" ca="1" si="107">ROUNDUP(OFFSET(AC8,-4,$B3,1,1)/20,)*20</f>
        <v>40</v>
      </c>
      <c r="AD8" s="37">
        <f t="shared" ca="1" si="107"/>
        <v>20</v>
      </c>
      <c r="AE8" s="37">
        <f t="shared" ca="1" si="107"/>
        <v>20</v>
      </c>
      <c r="AF8" s="37">
        <f t="shared" ca="1" si="107"/>
        <v>0</v>
      </c>
      <c r="AG8" s="37">
        <f t="shared" ca="1" si="107"/>
        <v>0</v>
      </c>
      <c r="AH8" s="37">
        <f t="shared" ca="1" si="107"/>
        <v>40</v>
      </c>
      <c r="AI8" s="37">
        <f t="shared" ca="1" si="107"/>
        <v>0</v>
      </c>
      <c r="AJ8" s="37">
        <f t="shared" ca="1" si="107"/>
        <v>0</v>
      </c>
      <c r="AK8" s="37">
        <f t="shared" ca="1" si="107"/>
        <v>0</v>
      </c>
      <c r="AL8" s="37">
        <f t="shared" ca="1" si="107"/>
        <v>0</v>
      </c>
      <c r="AM8" s="37">
        <f t="shared" ca="1" si="107"/>
        <v>0</v>
      </c>
      <c r="AN8" s="37">
        <f t="shared" ca="1" si="107"/>
        <v>220</v>
      </c>
      <c r="AO8" s="37">
        <f t="shared" ca="1" si="107"/>
        <v>0</v>
      </c>
      <c r="AP8" s="37">
        <f t="shared" ca="1" si="107"/>
        <v>0</v>
      </c>
      <c r="AQ8" s="37">
        <f t="shared" ca="1" si="107"/>
        <v>0</v>
      </c>
      <c r="AR8" s="37">
        <f t="shared" ca="1" si="107"/>
        <v>260</v>
      </c>
      <c r="AS8" s="37">
        <f t="shared" ca="1" si="107"/>
        <v>0</v>
      </c>
      <c r="AT8" s="37">
        <f t="shared" ca="1" si="107"/>
        <v>0</v>
      </c>
      <c r="AU8" s="37">
        <f t="shared" ca="1" si="107"/>
        <v>0</v>
      </c>
      <c r="AV8" s="37">
        <f t="shared" ca="1" si="107"/>
        <v>220</v>
      </c>
      <c r="AW8" s="37">
        <f t="shared" ca="1" si="107"/>
        <v>0</v>
      </c>
      <c r="AX8" s="37">
        <f t="shared" ca="1" si="107"/>
        <v>0</v>
      </c>
      <c r="AY8" s="37">
        <f t="shared" ca="1" si="107"/>
        <v>0</v>
      </c>
      <c r="AZ8" s="37">
        <f t="shared" ca="1" si="107"/>
        <v>0</v>
      </c>
      <c r="BA8" s="37">
        <f t="shared" ca="1" si="107"/>
        <v>180</v>
      </c>
      <c r="BB8" s="37">
        <f t="shared" ca="1" si="107"/>
        <v>0</v>
      </c>
      <c r="BC8" s="37">
        <f t="shared" ca="1" si="107"/>
        <v>0</v>
      </c>
      <c r="BD8" s="37">
        <f t="shared" ca="1" si="107"/>
        <v>0</v>
      </c>
      <c r="BE8" s="37">
        <f t="shared" ca="1" si="107"/>
        <v>0</v>
      </c>
      <c r="BF8" s="37">
        <f t="shared" ca="1" si="107"/>
        <v>0</v>
      </c>
      <c r="BG8" s="37">
        <f t="shared" ca="1" si="107"/>
        <v>0</v>
      </c>
      <c r="BH8" s="37">
        <f t="shared" ca="1" si="107"/>
        <v>0</v>
      </c>
      <c r="BI8" s="37">
        <f t="shared" ca="1" si="107"/>
        <v>0</v>
      </c>
      <c r="BJ8" s="37">
        <f t="shared" ca="1" si="107"/>
        <v>0</v>
      </c>
      <c r="BK8" s="37">
        <f t="shared" ca="1" si="107"/>
        <v>0</v>
      </c>
      <c r="BL8" s="37">
        <f t="shared" ca="1" si="107"/>
        <v>0</v>
      </c>
      <c r="BM8" s="37">
        <f t="shared" ca="1" si="107"/>
        <v>0</v>
      </c>
      <c r="BN8" s="37">
        <f t="shared" ca="1" si="107"/>
        <v>0</v>
      </c>
      <c r="BO8" s="37">
        <f t="shared" ca="1" si="107"/>
        <v>0</v>
      </c>
      <c r="BP8" s="37">
        <f t="shared" ca="1" si="107"/>
        <v>0</v>
      </c>
      <c r="BQ8" s="37">
        <f t="shared" ca="1" si="107"/>
        <v>0</v>
      </c>
      <c r="BR8" s="37">
        <f t="shared" ca="1" si="107"/>
        <v>0</v>
      </c>
      <c r="BS8" s="37">
        <f t="shared" ca="1" si="107"/>
        <v>0</v>
      </c>
      <c r="BT8" s="37">
        <f t="shared" ca="1" si="107"/>
        <v>0</v>
      </c>
      <c r="BU8" s="37">
        <f t="shared" ca="1" si="107"/>
        <v>0</v>
      </c>
      <c r="BV8" s="37">
        <f t="shared" ca="1" si="107"/>
        <v>0</v>
      </c>
      <c r="BW8" s="37">
        <f t="shared" ca="1" si="107"/>
        <v>0</v>
      </c>
    </row>
    <row r="9" spans="1:75" ht="37.5" x14ac:dyDescent="0.3">
      <c r="A9" s="16" t="s">
        <v>0</v>
      </c>
      <c r="B9" s="17" t="s">
        <v>62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6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8"/>
    </row>
    <row r="10" spans="1:75" ht="18.75" x14ac:dyDescent="0.3">
      <c r="A10" s="16" t="s">
        <v>4</v>
      </c>
      <c r="B10" s="18">
        <v>1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4"/>
      <c r="W10" s="13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5"/>
    </row>
    <row r="11" spans="1:75" ht="18.75" x14ac:dyDescent="0.3">
      <c r="A11" s="21" t="s">
        <v>67</v>
      </c>
      <c r="B11" s="20" t="s">
        <v>17</v>
      </c>
      <c r="C11" s="3">
        <f>IF(C12-B14&lt;0,0,C12-B14)</f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>
        <f t="shared" ref="Q11" si="108">IF(Q12-C14&lt;0,0,Q12-C14)</f>
        <v>0</v>
      </c>
      <c r="R11" s="4">
        <f t="shared" ref="R11" si="109">IF(R12-Q14&lt;0,0,R12-Q14)</f>
        <v>0</v>
      </c>
      <c r="S11" s="4">
        <f>IF(S12-R14&lt;0,0,S12-R14)</f>
        <v>0</v>
      </c>
      <c r="T11" s="4">
        <f t="shared" ref="T11" si="110">IF(T12-S14&lt;0,0,T12-S14)</f>
        <v>0</v>
      </c>
      <c r="U11" s="4">
        <f t="shared" ref="U11" si="111">IF(U12-T14&lt;0,0,U12-T14)</f>
        <v>0</v>
      </c>
      <c r="V11" s="4">
        <f t="shared" ref="V11" si="112">IF(V12-U14&lt;0,0,V12-U14)</f>
        <v>0</v>
      </c>
      <c r="W11" s="4">
        <f t="shared" ref="W11" si="113">IF(W12-V14&lt;0,0,W12-V14)</f>
        <v>0</v>
      </c>
      <c r="X11" s="4">
        <f t="shared" ref="X11" si="114">IF(X12-W14&lt;0,0,X12-W14)</f>
        <v>0</v>
      </c>
      <c r="Y11" s="4">
        <f t="shared" ref="Y11" si="115">IF(Y12-X14&lt;0,0,Y12-X14)</f>
        <v>0</v>
      </c>
      <c r="Z11" s="4">
        <f t="shared" ref="Z11" ca="1" si="116">IF(Z12-Y14&lt;0,0,Z12-Y14)</f>
        <v>0</v>
      </c>
      <c r="AA11" s="4">
        <f t="shared" ref="AA11" ca="1" si="117">IF(AA12-Z14&lt;0,0,AA12-Z14)</f>
        <v>0</v>
      </c>
      <c r="AB11" s="4">
        <f t="shared" ref="AB11" ca="1" si="118">IF(AB12-AA14&lt;0,0,AB12-AA14)</f>
        <v>0</v>
      </c>
      <c r="AC11" s="4">
        <f t="shared" ref="AC11" ca="1" si="119">IF(AC12-AB14&lt;0,0,AC12-AB14)</f>
        <v>0</v>
      </c>
      <c r="AD11" s="4">
        <f t="shared" ref="AD11" ca="1" si="120">IF(AD12-AC14&lt;0,0,AD12-AC14)</f>
        <v>0</v>
      </c>
      <c r="AE11" s="4">
        <f t="shared" ref="AE11" ca="1" si="121">IF(AE12-AD14&lt;0,0,AE12-AD14)</f>
        <v>0</v>
      </c>
      <c r="AF11" s="4">
        <f t="shared" ref="AF11" ca="1" si="122">IF(AF12-AE14&lt;0,0,AF12-AE14)</f>
        <v>0</v>
      </c>
      <c r="AG11" s="4">
        <f t="shared" ref="AG11" ca="1" si="123">IF(AG12-AF14&lt;0,0,AG12-AF14)</f>
        <v>0</v>
      </c>
      <c r="AH11" s="4">
        <f t="shared" ref="AH11" ca="1" si="124">IF(AH12-AG14&lt;0,0,AH12-AG14)</f>
        <v>0</v>
      </c>
      <c r="AI11" s="4">
        <f t="shared" ref="AI11" ca="1" si="125">IF(AI12-AH14&lt;0,0,AI12-AH14)</f>
        <v>0</v>
      </c>
      <c r="AJ11" s="4">
        <f t="shared" ref="AJ11" ca="1" si="126">IF(AJ12-AI14&lt;0,0,AJ12-AI14)</f>
        <v>0</v>
      </c>
      <c r="AK11" s="4">
        <f t="shared" ref="AK11" ca="1" si="127">IF(AK12-AJ14&lt;0,0,AK12-AJ14)</f>
        <v>0</v>
      </c>
      <c r="AL11" s="4">
        <f t="shared" ref="AL11" ca="1" si="128">IF(AL12-AK14&lt;0,0,AL12-AK14)</f>
        <v>0</v>
      </c>
      <c r="AM11" s="4">
        <f t="shared" ref="AM11" ca="1" si="129">IF(AM12-AL14&lt;0,0,AM12-AL14)</f>
        <v>0</v>
      </c>
      <c r="AN11" s="4">
        <f t="shared" ref="AN11" ca="1" si="130">IF(AN12-AM14&lt;0,0,AN12-AM14)</f>
        <v>0</v>
      </c>
      <c r="AO11" s="4">
        <f t="shared" ref="AO11" ca="1" si="131">IF(AO12-AN14&lt;0,0,AO12-AN14)</f>
        <v>8</v>
      </c>
      <c r="AP11" s="4">
        <f t="shared" ref="AP11" ca="1" si="132">IF(AP12-AO14&lt;0,0,AP12-AO14)</f>
        <v>0</v>
      </c>
      <c r="AQ11" s="4">
        <f t="shared" ref="AQ11" ca="1" si="133">IF(AQ12-AP14&lt;0,0,AQ12-AP14)</f>
        <v>0</v>
      </c>
      <c r="AR11" s="4">
        <f t="shared" ref="AR11" ca="1" si="134">IF(AR12-AQ14&lt;0,0,AR12-AQ14)</f>
        <v>0</v>
      </c>
      <c r="AS11" s="4">
        <f t="shared" ref="AS11" ca="1" si="135">IF(AS12-AR14&lt;0,0,AS12-AR14)</f>
        <v>0</v>
      </c>
      <c r="AT11" s="4">
        <f t="shared" ref="AT11" ca="1" si="136">IF(AT12-AS14&lt;0,0,AT12-AS14)</f>
        <v>0</v>
      </c>
      <c r="AU11" s="4">
        <f t="shared" ref="AU11" ca="1" si="137">IF(AU12-AT14&lt;0,0,AU12-AT14)</f>
        <v>0</v>
      </c>
      <c r="AV11" s="4">
        <f t="shared" ref="AV11" ca="1" si="138">IF(AV12-AU14&lt;0,0,AV12-AU14)</f>
        <v>0</v>
      </c>
      <c r="AW11" s="4">
        <f t="shared" ref="AW11" ca="1" si="139">IF(AW12-AV14&lt;0,0,AW12-AV14)</f>
        <v>0</v>
      </c>
      <c r="AX11" s="4">
        <f t="shared" ref="AX11" ca="1" si="140">IF(AX12-AW14&lt;0,0,AX12-AW14)</f>
        <v>0</v>
      </c>
      <c r="AY11" s="4">
        <f t="shared" ref="AY11" ca="1" si="141">IF(AY12-AX14&lt;0,0,AY12-AX14)</f>
        <v>0</v>
      </c>
      <c r="AZ11" s="4">
        <f t="shared" ref="AZ11" ca="1" si="142">IF(AZ12-AY14&lt;0,0,AZ12-AY14)</f>
        <v>0</v>
      </c>
      <c r="BA11" s="4">
        <f t="shared" ref="BA11" ca="1" si="143">IF(BA12-AZ14&lt;0,0,BA12-AZ14)</f>
        <v>0</v>
      </c>
      <c r="BB11" s="4">
        <f t="shared" ref="BB11" ca="1" si="144">IF(BB12-BA14&lt;0,0,BB12-BA14)</f>
        <v>0</v>
      </c>
      <c r="BC11" s="4">
        <f t="shared" ref="BC11" ca="1" si="145">IF(BC12-BB14&lt;0,0,BC12-BB14)</f>
        <v>0</v>
      </c>
      <c r="BD11" s="4">
        <f t="shared" ref="BD11" ca="1" si="146">IF(BD12-BC14&lt;0,0,BD12-BC14)</f>
        <v>0</v>
      </c>
      <c r="BE11" s="4">
        <f t="shared" ref="BE11" ca="1" si="147">IF(BE12-BD14&lt;0,0,BE12-BD14)</f>
        <v>0</v>
      </c>
      <c r="BF11" s="4">
        <f t="shared" ref="BF11" ca="1" si="148">IF(BF12-BE14&lt;0,0,BF12-BE14)</f>
        <v>0</v>
      </c>
      <c r="BG11" s="4">
        <f t="shared" ref="BG11" ca="1" si="149">IF(BG12-BF14&lt;0,0,BG12-BF14)</f>
        <v>0</v>
      </c>
      <c r="BH11" s="4">
        <f t="shared" ref="BH11" ca="1" si="150">IF(BH12-BG14&lt;0,0,BH12-BG14)</f>
        <v>0</v>
      </c>
      <c r="BI11" s="4">
        <f t="shared" ref="BI11" ca="1" si="151">IF(BI12-BH14&lt;0,0,BI12-BH14)</f>
        <v>0</v>
      </c>
      <c r="BJ11" s="4">
        <f t="shared" ref="BJ11" ca="1" si="152">IF(BJ12-BI14&lt;0,0,BJ12-BI14)</f>
        <v>0</v>
      </c>
      <c r="BK11" s="4">
        <f t="shared" ref="BK11" ca="1" si="153">IF(BK12-BJ14&lt;0,0,BK12-BJ14)</f>
        <v>0</v>
      </c>
      <c r="BL11" s="4">
        <f t="shared" ref="BL11" ca="1" si="154">IF(BL12-BK14&lt;0,0,BL12-BK14)</f>
        <v>0</v>
      </c>
      <c r="BM11" s="4">
        <f t="shared" ref="BM11" ca="1" si="155">IF(BM12-BL14&lt;0,0,BM12-BL14)</f>
        <v>0</v>
      </c>
      <c r="BN11" s="4">
        <f t="shared" ref="BN11" ca="1" si="156">IF(BN12-BM14&lt;0,0,BN12-BM14)</f>
        <v>0</v>
      </c>
      <c r="BO11" s="4">
        <f t="shared" ref="BO11" ca="1" si="157">IF(BO12-BN14&lt;0,0,BO12-BN14)</f>
        <v>0</v>
      </c>
      <c r="BP11" s="4">
        <f t="shared" ref="BP11" ca="1" si="158">IF(BP12-BO14&lt;0,0,BP12-BO14)</f>
        <v>0</v>
      </c>
      <c r="BQ11" s="4">
        <f t="shared" ref="BQ11" ca="1" si="159">IF(BQ12-BP14&lt;0,0,BQ12-BP14)</f>
        <v>0</v>
      </c>
      <c r="BR11" s="4">
        <f t="shared" ref="BR11" ca="1" si="160">IF(BR12-BQ14&lt;0,0,BR12-BQ14)</f>
        <v>0</v>
      </c>
      <c r="BS11" s="4">
        <f t="shared" ref="BS11" ca="1" si="161">IF(BS12-BR14&lt;0,0,BS12-BR14)</f>
        <v>0</v>
      </c>
      <c r="BT11" s="4">
        <f t="shared" ref="BT11" ca="1" si="162">IF(BT12-BS14&lt;0,0,BT12-BS14)</f>
        <v>0</v>
      </c>
      <c r="BU11" s="4">
        <f t="shared" ref="BU11" ca="1" si="163">IF(BU12-BT14&lt;0,0,BU12-BT14)</f>
        <v>0</v>
      </c>
      <c r="BV11" s="4">
        <f t="shared" ref="BV11" ca="1" si="164">IF(BV12-BU14&lt;0,0,BV12-BU14)</f>
        <v>0</v>
      </c>
      <c r="BW11" s="5">
        <f t="shared" ref="BW11" ca="1" si="165">IF(BW12-BV14&lt;0,0,BW12-BV14)</f>
        <v>0</v>
      </c>
    </row>
    <row r="12" spans="1:75" ht="18.75" x14ac:dyDescent="0.3">
      <c r="A12" s="16" t="s">
        <v>65</v>
      </c>
      <c r="B12" s="18" t="s">
        <v>1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4"/>
      <c r="AA12" s="5"/>
      <c r="AB12" s="4"/>
      <c r="AC12" s="5"/>
      <c r="AD12" s="4"/>
      <c r="AE12" s="5"/>
      <c r="AF12" s="4"/>
      <c r="AG12" s="5"/>
      <c r="AH12" s="4">
        <v>6</v>
      </c>
      <c r="AI12" s="5"/>
      <c r="AJ12" s="4">
        <v>4</v>
      </c>
      <c r="AK12" s="5"/>
      <c r="AL12" s="4"/>
      <c r="AM12" s="5"/>
      <c r="AN12" s="4"/>
      <c r="AO12" s="5">
        <v>8</v>
      </c>
      <c r="AP12" s="4"/>
      <c r="AQ12" s="5"/>
      <c r="AR12" s="4"/>
      <c r="AS12" s="5">
        <v>4</v>
      </c>
      <c r="AT12" s="4"/>
      <c r="AU12" s="5"/>
      <c r="AV12" s="4"/>
      <c r="AW12" s="5">
        <v>2</v>
      </c>
      <c r="AX12" s="4"/>
      <c r="AY12" s="5"/>
      <c r="AZ12" s="4"/>
      <c r="BA12" s="5"/>
      <c r="BB12" s="4"/>
      <c r="BC12" s="5"/>
      <c r="BD12" s="4"/>
      <c r="BE12" s="5"/>
      <c r="BF12" s="4"/>
      <c r="BG12" s="5"/>
      <c r="BH12" s="4"/>
      <c r="BI12" s="5"/>
      <c r="BJ12" s="4"/>
      <c r="BK12" s="5"/>
      <c r="BL12" s="4"/>
      <c r="BM12" s="5"/>
      <c r="BN12" s="4"/>
      <c r="BO12" s="5"/>
      <c r="BP12" s="4"/>
      <c r="BQ12" s="5"/>
      <c r="BR12" s="4"/>
      <c r="BS12" s="5"/>
      <c r="BT12" s="4"/>
      <c r="BU12" s="5"/>
      <c r="BV12" s="4"/>
      <c r="BW12" s="5"/>
    </row>
    <row r="13" spans="1:75" ht="18.75" x14ac:dyDescent="0.3">
      <c r="A13" s="19"/>
      <c r="B13" s="20" t="s">
        <v>2</v>
      </c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f t="shared" ref="Y13:BW13" ca="1" si="166">OFFSET(Y13,2,-$B10,1,1)</f>
        <v>0</v>
      </c>
      <c r="Z13" s="4">
        <f t="shared" ca="1" si="166"/>
        <v>0</v>
      </c>
      <c r="AA13" s="4">
        <f t="shared" ca="1" si="166"/>
        <v>0</v>
      </c>
      <c r="AB13" s="4">
        <f t="shared" ca="1" si="166"/>
        <v>0</v>
      </c>
      <c r="AC13" s="4">
        <f t="shared" ca="1" si="166"/>
        <v>0</v>
      </c>
      <c r="AD13" s="4">
        <f t="shared" ca="1" si="166"/>
        <v>0</v>
      </c>
      <c r="AE13" s="4">
        <f t="shared" ca="1" si="166"/>
        <v>0</v>
      </c>
      <c r="AF13" s="4">
        <f t="shared" ca="1" si="166"/>
        <v>0</v>
      </c>
      <c r="AG13" s="4">
        <f t="shared" ca="1" si="166"/>
        <v>0</v>
      </c>
      <c r="AH13" s="4">
        <f t="shared" ca="1" si="166"/>
        <v>0</v>
      </c>
      <c r="AI13" s="4">
        <f t="shared" ca="1" si="166"/>
        <v>0</v>
      </c>
      <c r="AJ13" s="4">
        <f t="shared" ca="1" si="166"/>
        <v>0</v>
      </c>
      <c r="AK13" s="4">
        <f t="shared" ca="1" si="166"/>
        <v>0</v>
      </c>
      <c r="AL13" s="4">
        <f t="shared" ca="1" si="166"/>
        <v>0</v>
      </c>
      <c r="AM13" s="4">
        <f t="shared" ca="1" si="166"/>
        <v>0</v>
      </c>
      <c r="AN13" s="4">
        <f t="shared" ca="1" si="166"/>
        <v>0</v>
      </c>
      <c r="AO13" s="4">
        <f t="shared" ca="1" si="166"/>
        <v>20</v>
      </c>
      <c r="AP13" s="4">
        <f t="shared" ca="1" si="166"/>
        <v>0</v>
      </c>
      <c r="AQ13" s="4">
        <f t="shared" ca="1" si="166"/>
        <v>0</v>
      </c>
      <c r="AR13" s="4">
        <f t="shared" ca="1" si="166"/>
        <v>0</v>
      </c>
      <c r="AS13" s="4">
        <f t="shared" ca="1" si="166"/>
        <v>0</v>
      </c>
      <c r="AT13" s="4">
        <f t="shared" ca="1" si="166"/>
        <v>0</v>
      </c>
      <c r="AU13" s="4">
        <f t="shared" ca="1" si="166"/>
        <v>0</v>
      </c>
      <c r="AV13" s="4">
        <f t="shared" ca="1" si="166"/>
        <v>0</v>
      </c>
      <c r="AW13" s="4">
        <f t="shared" ca="1" si="166"/>
        <v>0</v>
      </c>
      <c r="AX13" s="4">
        <f t="shared" ca="1" si="166"/>
        <v>0</v>
      </c>
      <c r="AY13" s="4">
        <f t="shared" ca="1" si="166"/>
        <v>0</v>
      </c>
      <c r="AZ13" s="4">
        <f t="shared" ca="1" si="166"/>
        <v>0</v>
      </c>
      <c r="BA13" s="4">
        <f t="shared" ca="1" si="166"/>
        <v>0</v>
      </c>
      <c r="BB13" s="4">
        <f t="shared" ca="1" si="166"/>
        <v>0</v>
      </c>
      <c r="BC13" s="4">
        <f t="shared" ca="1" si="166"/>
        <v>0</v>
      </c>
      <c r="BD13" s="4">
        <f t="shared" ca="1" si="166"/>
        <v>0</v>
      </c>
      <c r="BE13" s="4">
        <f t="shared" ca="1" si="166"/>
        <v>0</v>
      </c>
      <c r="BF13" s="4">
        <f t="shared" ca="1" si="166"/>
        <v>0</v>
      </c>
      <c r="BG13" s="4">
        <f t="shared" ca="1" si="166"/>
        <v>0</v>
      </c>
      <c r="BH13" s="4">
        <f t="shared" ca="1" si="166"/>
        <v>0</v>
      </c>
      <c r="BI13" s="4">
        <f t="shared" ca="1" si="166"/>
        <v>0</v>
      </c>
      <c r="BJ13" s="4">
        <f t="shared" ca="1" si="166"/>
        <v>0</v>
      </c>
      <c r="BK13" s="4">
        <f t="shared" ca="1" si="166"/>
        <v>0</v>
      </c>
      <c r="BL13" s="4">
        <f t="shared" ca="1" si="166"/>
        <v>0</v>
      </c>
      <c r="BM13" s="4">
        <f t="shared" ca="1" si="166"/>
        <v>0</v>
      </c>
      <c r="BN13" s="4">
        <f t="shared" ca="1" si="166"/>
        <v>0</v>
      </c>
      <c r="BO13" s="4">
        <f t="shared" ca="1" si="166"/>
        <v>0</v>
      </c>
      <c r="BP13" s="4">
        <f t="shared" ca="1" si="166"/>
        <v>0</v>
      </c>
      <c r="BQ13" s="4">
        <f t="shared" ca="1" si="166"/>
        <v>0</v>
      </c>
      <c r="BR13" s="4">
        <f t="shared" ca="1" si="166"/>
        <v>0</v>
      </c>
      <c r="BS13" s="4">
        <f t="shared" ca="1" si="166"/>
        <v>0</v>
      </c>
      <c r="BT13" s="4">
        <f t="shared" ca="1" si="166"/>
        <v>0</v>
      </c>
      <c r="BU13" s="4">
        <f t="shared" ca="1" si="166"/>
        <v>0</v>
      </c>
      <c r="BV13" s="4">
        <f t="shared" ca="1" si="166"/>
        <v>0</v>
      </c>
      <c r="BW13" s="5">
        <f t="shared" ca="1" si="166"/>
        <v>0</v>
      </c>
    </row>
    <row r="14" spans="1:75" ht="18.75" x14ac:dyDescent="0.3">
      <c r="A14" s="19" t="s">
        <v>3</v>
      </c>
      <c r="B14" s="20">
        <v>10</v>
      </c>
      <c r="C14" s="9">
        <f>B14-C12+C13</f>
        <v>10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>
        <f t="shared" ref="Q14" si="167">C14-Q12+Q13</f>
        <v>10</v>
      </c>
      <c r="R14" s="11">
        <f t="shared" ref="R14" si="168">Q14-R12+R13</f>
        <v>10</v>
      </c>
      <c r="S14" s="11">
        <f>R14-S12+S13</f>
        <v>10</v>
      </c>
      <c r="T14" s="11">
        <f t="shared" ref="T14" si="169">S14-T12+T13</f>
        <v>10</v>
      </c>
      <c r="U14" s="11">
        <f t="shared" ref="U14" si="170">T14-U12+U13</f>
        <v>10</v>
      </c>
      <c r="V14" s="11">
        <f t="shared" ref="V14" si="171">U14-V12+V13</f>
        <v>10</v>
      </c>
      <c r="W14" s="11">
        <f t="shared" ref="W14" si="172">V14-W12+W13</f>
        <v>10</v>
      </c>
      <c r="X14" s="11">
        <f t="shared" ref="X14" si="173">W14-X12+X13</f>
        <v>10</v>
      </c>
      <c r="Y14" s="10">
        <f t="shared" ref="Y14" ca="1" si="174">X14-Y12+Y13</f>
        <v>10</v>
      </c>
      <c r="Z14" s="11">
        <f t="shared" ref="Z14" ca="1" si="175">Y14-Z12+Z13</f>
        <v>10</v>
      </c>
      <c r="AA14" s="10">
        <f t="shared" ref="AA14" ca="1" si="176">Z14-AA12+AA13</f>
        <v>10</v>
      </c>
      <c r="AB14" s="11">
        <f t="shared" ref="AB14" ca="1" si="177">AA14-AB12+AB13</f>
        <v>10</v>
      </c>
      <c r="AC14" s="10">
        <f t="shared" ref="AC14" ca="1" si="178">AB14-AC12+AC13</f>
        <v>10</v>
      </c>
      <c r="AD14" s="11">
        <f t="shared" ref="AD14" ca="1" si="179">AC14-AD12+AD13</f>
        <v>10</v>
      </c>
      <c r="AE14" s="10">
        <f t="shared" ref="AE14" ca="1" si="180">AD14-AE12+AE13</f>
        <v>10</v>
      </c>
      <c r="AF14" s="11">
        <f t="shared" ref="AF14" ca="1" si="181">AE14-AF12+AF13</f>
        <v>10</v>
      </c>
      <c r="AG14" s="10">
        <f t="shared" ref="AG14" ca="1" si="182">AF14-AG12+AG13</f>
        <v>10</v>
      </c>
      <c r="AH14" s="11">
        <f t="shared" ref="AH14" ca="1" si="183">AG14-AH12+AH13</f>
        <v>4</v>
      </c>
      <c r="AI14" s="10">
        <f t="shared" ref="AI14" ca="1" si="184">AH14-AI12+AI13</f>
        <v>4</v>
      </c>
      <c r="AJ14" s="11">
        <f t="shared" ref="AJ14" ca="1" si="185">AI14-AJ12+AJ13</f>
        <v>0</v>
      </c>
      <c r="AK14" s="10">
        <f t="shared" ref="AK14" ca="1" si="186">AJ14-AK12+AK13</f>
        <v>0</v>
      </c>
      <c r="AL14" s="11">
        <f t="shared" ref="AL14" ca="1" si="187">AK14-AL12+AL13</f>
        <v>0</v>
      </c>
      <c r="AM14" s="10">
        <f t="shared" ref="AM14" ca="1" si="188">AL14-AM12+AM13</f>
        <v>0</v>
      </c>
      <c r="AN14" s="11">
        <f t="shared" ref="AN14" ca="1" si="189">AM14-AN12+AN13</f>
        <v>0</v>
      </c>
      <c r="AO14" s="10">
        <f t="shared" ref="AO14" ca="1" si="190">AN14-AO12+AO13</f>
        <v>12</v>
      </c>
      <c r="AP14" s="11">
        <f t="shared" ref="AP14" ca="1" si="191">AO14-AP12+AP13</f>
        <v>12</v>
      </c>
      <c r="AQ14" s="10">
        <f t="shared" ref="AQ14" ca="1" si="192">AP14-AQ12+AQ13</f>
        <v>12</v>
      </c>
      <c r="AR14" s="11">
        <f t="shared" ref="AR14" ca="1" si="193">AQ14-AR12+AR13</f>
        <v>12</v>
      </c>
      <c r="AS14" s="10">
        <f t="shared" ref="AS14" ca="1" si="194">AR14-AS12+AS13</f>
        <v>8</v>
      </c>
      <c r="AT14" s="11">
        <f t="shared" ref="AT14" ca="1" si="195">AS14-AT12+AT13</f>
        <v>8</v>
      </c>
      <c r="AU14" s="10">
        <f t="shared" ref="AU14" ca="1" si="196">AT14-AU12+AU13</f>
        <v>8</v>
      </c>
      <c r="AV14" s="11">
        <f t="shared" ref="AV14" ca="1" si="197">AU14-AV12+AV13</f>
        <v>8</v>
      </c>
      <c r="AW14" s="10">
        <f t="shared" ref="AW14" ca="1" si="198">AV14-AW12+AW13</f>
        <v>6</v>
      </c>
      <c r="AX14" s="11">
        <f t="shared" ref="AX14" ca="1" si="199">AW14-AX12+AX13</f>
        <v>6</v>
      </c>
      <c r="AY14" s="10">
        <f t="shared" ref="AY14" ca="1" si="200">AX14-AY12+AY13</f>
        <v>6</v>
      </c>
      <c r="AZ14" s="11">
        <f t="shared" ref="AZ14" ca="1" si="201">AY14-AZ12+AZ13</f>
        <v>6</v>
      </c>
      <c r="BA14" s="10">
        <f t="shared" ref="BA14" ca="1" si="202">AZ14-BA12+BA13</f>
        <v>6</v>
      </c>
      <c r="BB14" s="11">
        <f t="shared" ref="BB14" ca="1" si="203">BA14-BB12+BB13</f>
        <v>6</v>
      </c>
      <c r="BC14" s="10">
        <f t="shared" ref="BC14" ca="1" si="204">BB14-BC12+BC13</f>
        <v>6</v>
      </c>
      <c r="BD14" s="11">
        <f t="shared" ref="BD14" ca="1" si="205">BC14-BD12+BD13</f>
        <v>6</v>
      </c>
      <c r="BE14" s="10">
        <f t="shared" ref="BE14" ca="1" si="206">BD14-BE12+BE13</f>
        <v>6</v>
      </c>
      <c r="BF14" s="11">
        <f t="shared" ref="BF14" ca="1" si="207">BE14-BF12+BF13</f>
        <v>6</v>
      </c>
      <c r="BG14" s="10">
        <f t="shared" ref="BG14" ca="1" si="208">BF14-BG12+BG13</f>
        <v>6</v>
      </c>
      <c r="BH14" s="11">
        <f t="shared" ref="BH14" ca="1" si="209">BG14-BH12+BH13</f>
        <v>6</v>
      </c>
      <c r="BI14" s="10">
        <f t="shared" ref="BI14" ca="1" si="210">BH14-BI12+BI13</f>
        <v>6</v>
      </c>
      <c r="BJ14" s="11">
        <f t="shared" ref="BJ14" ca="1" si="211">BI14-BJ12+BJ13</f>
        <v>6</v>
      </c>
      <c r="BK14" s="10">
        <f t="shared" ref="BK14" ca="1" si="212">BJ14-BK12+BK13</f>
        <v>6</v>
      </c>
      <c r="BL14" s="11">
        <f t="shared" ref="BL14" ca="1" si="213">BK14-BL12+BL13</f>
        <v>6</v>
      </c>
      <c r="BM14" s="10">
        <f t="shared" ref="BM14" ca="1" si="214">BL14-BM12+BM13</f>
        <v>6</v>
      </c>
      <c r="BN14" s="11">
        <f t="shared" ref="BN14" ca="1" si="215">BM14-BN12+BN13</f>
        <v>6</v>
      </c>
      <c r="BO14" s="10">
        <f t="shared" ref="BO14" ca="1" si="216">BN14-BO12+BO13</f>
        <v>6</v>
      </c>
      <c r="BP14" s="11">
        <f t="shared" ref="BP14" ca="1" si="217">BO14-BP12+BP13</f>
        <v>6</v>
      </c>
      <c r="BQ14" s="10">
        <f t="shared" ref="BQ14" ca="1" si="218">BP14-BQ12+BQ13</f>
        <v>6</v>
      </c>
      <c r="BR14" s="11">
        <f t="shared" ref="BR14" ca="1" si="219">BQ14-BR12+BR13</f>
        <v>6</v>
      </c>
      <c r="BS14" s="10">
        <f t="shared" ref="BS14" ca="1" si="220">BR14-BS12+BS13</f>
        <v>6</v>
      </c>
      <c r="BT14" s="11">
        <f t="shared" ref="BT14" ca="1" si="221">BS14-BT12+BT13</f>
        <v>6</v>
      </c>
      <c r="BU14" s="10">
        <f t="shared" ref="BU14" ca="1" si="222">BT14-BU12+BU13</f>
        <v>6</v>
      </c>
      <c r="BV14" s="11">
        <f t="shared" ref="BV14" ca="1" si="223">BU14-BV12+BV13</f>
        <v>6</v>
      </c>
      <c r="BW14" s="10">
        <f t="shared" ref="BW14" ca="1" si="224">BV14-BW12+BW13</f>
        <v>6</v>
      </c>
    </row>
    <row r="15" spans="1:75" s="43" customFormat="1" ht="18.75" x14ac:dyDescent="0.3">
      <c r="A15" s="39"/>
      <c r="B15" s="40" t="s">
        <v>16</v>
      </c>
      <c r="C15" s="41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>
        <f t="shared" ref="X15" ca="1" si="225">OFFSET(X15,-4,$B10,1,1)</f>
        <v>0</v>
      </c>
      <c r="Y15" s="42">
        <f t="shared" ref="Y15:AA15" ca="1" si="226">ROUNDUP(OFFSET(Y15,-4,$B10,1,1)/20,)*20</f>
        <v>0</v>
      </c>
      <c r="Z15" s="42">
        <f t="shared" ca="1" si="226"/>
        <v>0</v>
      </c>
      <c r="AA15" s="42">
        <f t="shared" ca="1" si="226"/>
        <v>0</v>
      </c>
      <c r="AB15" s="42">
        <f ca="1">ROUNDUP(OFFSET(AB15,-4,$B10,1,1)/20,)*20</f>
        <v>0</v>
      </c>
      <c r="AC15" s="42">
        <f t="shared" ref="AC15:BW15" ca="1" si="227">ROUNDUP(OFFSET(AC15,-4,$B10,1,1)/20,)*20</f>
        <v>0</v>
      </c>
      <c r="AD15" s="42">
        <f t="shared" ca="1" si="227"/>
        <v>0</v>
      </c>
      <c r="AE15" s="42">
        <f t="shared" ca="1" si="227"/>
        <v>0</v>
      </c>
      <c r="AF15" s="42">
        <f t="shared" ca="1" si="227"/>
        <v>0</v>
      </c>
      <c r="AG15" s="42">
        <f t="shared" ca="1" si="227"/>
        <v>0</v>
      </c>
      <c r="AH15" s="42">
        <f t="shared" ca="1" si="227"/>
        <v>0</v>
      </c>
      <c r="AI15" s="42">
        <f t="shared" ca="1" si="227"/>
        <v>0</v>
      </c>
      <c r="AJ15" s="42">
        <f t="shared" ca="1" si="227"/>
        <v>0</v>
      </c>
      <c r="AK15" s="42">
        <f t="shared" ca="1" si="227"/>
        <v>0</v>
      </c>
      <c r="AL15" s="42">
        <f t="shared" ca="1" si="227"/>
        <v>0</v>
      </c>
      <c r="AM15" s="42">
        <f t="shared" ca="1" si="227"/>
        <v>0</v>
      </c>
      <c r="AN15" s="42">
        <f t="shared" ca="1" si="227"/>
        <v>20</v>
      </c>
      <c r="AO15" s="42">
        <f t="shared" ca="1" si="227"/>
        <v>0</v>
      </c>
      <c r="AP15" s="42">
        <f t="shared" ca="1" si="227"/>
        <v>0</v>
      </c>
      <c r="AQ15" s="42">
        <f t="shared" ca="1" si="227"/>
        <v>0</v>
      </c>
      <c r="AR15" s="42">
        <f t="shared" ca="1" si="227"/>
        <v>0</v>
      </c>
      <c r="AS15" s="42">
        <f t="shared" ca="1" si="227"/>
        <v>0</v>
      </c>
      <c r="AT15" s="42">
        <f t="shared" ca="1" si="227"/>
        <v>0</v>
      </c>
      <c r="AU15" s="42">
        <f t="shared" ca="1" si="227"/>
        <v>0</v>
      </c>
      <c r="AV15" s="42">
        <f t="shared" ca="1" si="227"/>
        <v>0</v>
      </c>
      <c r="AW15" s="42">
        <f t="shared" ca="1" si="227"/>
        <v>0</v>
      </c>
      <c r="AX15" s="42">
        <f t="shared" ca="1" si="227"/>
        <v>0</v>
      </c>
      <c r="AY15" s="42">
        <f t="shared" ca="1" si="227"/>
        <v>0</v>
      </c>
      <c r="AZ15" s="42">
        <f t="shared" ca="1" si="227"/>
        <v>0</v>
      </c>
      <c r="BA15" s="42">
        <f t="shared" ca="1" si="227"/>
        <v>0</v>
      </c>
      <c r="BB15" s="42">
        <f t="shared" ca="1" si="227"/>
        <v>0</v>
      </c>
      <c r="BC15" s="42">
        <f t="shared" ca="1" si="227"/>
        <v>0</v>
      </c>
      <c r="BD15" s="42">
        <f t="shared" ca="1" si="227"/>
        <v>0</v>
      </c>
      <c r="BE15" s="42">
        <f t="shared" ca="1" si="227"/>
        <v>0</v>
      </c>
      <c r="BF15" s="42">
        <f t="shared" ca="1" si="227"/>
        <v>0</v>
      </c>
      <c r="BG15" s="42">
        <f t="shared" ca="1" si="227"/>
        <v>0</v>
      </c>
      <c r="BH15" s="42">
        <f t="shared" ca="1" si="227"/>
        <v>0</v>
      </c>
      <c r="BI15" s="42">
        <f t="shared" ca="1" si="227"/>
        <v>0</v>
      </c>
      <c r="BJ15" s="42">
        <f t="shared" ca="1" si="227"/>
        <v>0</v>
      </c>
      <c r="BK15" s="42">
        <f t="shared" ca="1" si="227"/>
        <v>0</v>
      </c>
      <c r="BL15" s="42">
        <f t="shared" ca="1" si="227"/>
        <v>0</v>
      </c>
      <c r="BM15" s="42">
        <f t="shared" ca="1" si="227"/>
        <v>0</v>
      </c>
      <c r="BN15" s="42">
        <f t="shared" ca="1" si="227"/>
        <v>0</v>
      </c>
      <c r="BO15" s="42">
        <f t="shared" ca="1" si="227"/>
        <v>0</v>
      </c>
      <c r="BP15" s="42">
        <f t="shared" ca="1" si="227"/>
        <v>0</v>
      </c>
      <c r="BQ15" s="42">
        <f t="shared" ca="1" si="227"/>
        <v>0</v>
      </c>
      <c r="BR15" s="42">
        <f t="shared" ca="1" si="227"/>
        <v>0</v>
      </c>
      <c r="BS15" s="42">
        <f t="shared" ca="1" si="227"/>
        <v>0</v>
      </c>
      <c r="BT15" s="42">
        <f t="shared" ca="1" si="227"/>
        <v>0</v>
      </c>
      <c r="BU15" s="42">
        <f t="shared" ca="1" si="227"/>
        <v>0</v>
      </c>
      <c r="BV15" s="42">
        <f t="shared" ca="1" si="227"/>
        <v>0</v>
      </c>
      <c r="BW15" s="42">
        <f t="shared" ca="1" si="227"/>
        <v>0</v>
      </c>
    </row>
    <row r="16" spans="1:75" ht="56.25" x14ac:dyDescent="0.3">
      <c r="A16" s="16" t="s">
        <v>0</v>
      </c>
      <c r="B16" s="17" t="s">
        <v>63</v>
      </c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6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8"/>
    </row>
    <row r="17" spans="1:75" ht="18.75" x14ac:dyDescent="0.3">
      <c r="A17" s="16" t="s">
        <v>4</v>
      </c>
      <c r="B17" s="18">
        <v>13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4"/>
      <c r="W17" s="13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5"/>
    </row>
    <row r="18" spans="1:75" ht="18.75" x14ac:dyDescent="0.3">
      <c r="A18" s="19" t="s">
        <v>68</v>
      </c>
      <c r="B18" s="20" t="s">
        <v>17</v>
      </c>
      <c r="C18" s="3">
        <f>IF(C19-B21&lt;0,0,C19-B21)</f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>
        <f t="shared" ref="Q18" si="228">IF(Q19-C21&lt;0,0,Q19-C21)</f>
        <v>0</v>
      </c>
      <c r="R18" s="4">
        <f t="shared" ref="R18" si="229">IF(R19-Q21&lt;0,0,R19-Q21)</f>
        <v>0</v>
      </c>
      <c r="S18" s="4">
        <f>IF(S19-R21&lt;0,0,S19-R21)</f>
        <v>0</v>
      </c>
      <c r="T18" s="4">
        <f t="shared" ref="T18" si="230">IF(T19-S21&lt;0,0,T19-S21)</f>
        <v>0</v>
      </c>
      <c r="U18" s="4">
        <f t="shared" ref="U18" si="231">IF(U19-T21&lt;0,0,U19-T21)</f>
        <v>0</v>
      </c>
      <c r="V18" s="4">
        <f t="shared" ref="V18" si="232">IF(V19-U21&lt;0,0,V19-U21)</f>
        <v>0</v>
      </c>
      <c r="W18" s="4">
        <f t="shared" ref="W18" si="233">IF(W19-V21&lt;0,0,W19-V21)</f>
        <v>0</v>
      </c>
      <c r="X18" s="4">
        <f t="shared" ref="X18" si="234">IF(X19-W21&lt;0,0,X19-W21)</f>
        <v>0</v>
      </c>
      <c r="Y18" s="4">
        <f t="shared" ref="Y18" si="235">IF(Y19-X21&lt;0,0,Y19-X21)</f>
        <v>0</v>
      </c>
      <c r="Z18" s="4">
        <f t="shared" ref="Z18" ca="1" si="236">IF(Z19-Y21&lt;0,0,Z19-Y21)</f>
        <v>0</v>
      </c>
      <c r="AA18" s="4">
        <f t="shared" ref="AA18" ca="1" si="237">IF(AA19-Z21&lt;0,0,AA19-Z21)</f>
        <v>0</v>
      </c>
      <c r="AB18" s="4">
        <f t="shared" ref="AB18" ca="1" si="238">IF(AB19-AA21&lt;0,0,AB19-AA21)</f>
        <v>0</v>
      </c>
      <c r="AC18" s="4">
        <f t="shared" ref="AC18" ca="1" si="239">IF(AC19-AB21&lt;0,0,AC19-AB21)</f>
        <v>0</v>
      </c>
      <c r="AD18" s="4">
        <f t="shared" ref="AD18" ca="1" si="240">IF(AD19-AC21&lt;0,0,AD19-AC21)</f>
        <v>0</v>
      </c>
      <c r="AE18" s="4">
        <f t="shared" ref="AE18" ca="1" si="241">IF(AE19-AD21&lt;0,0,AE19-AD21)</f>
        <v>0</v>
      </c>
      <c r="AF18" s="4">
        <f t="shared" ref="AF18" ca="1" si="242">IF(AF19-AE21&lt;0,0,AF19-AE21)</f>
        <v>0</v>
      </c>
      <c r="AG18" s="4">
        <f t="shared" ref="AG18" ca="1" si="243">IF(AG19-AF21&lt;0,0,AG19-AF21)</f>
        <v>0</v>
      </c>
      <c r="AH18" s="4">
        <f t="shared" ref="AH18" ca="1" si="244">IF(AH19-AG21&lt;0,0,AH19-AG21)</f>
        <v>0</v>
      </c>
      <c r="AI18" s="4">
        <f t="shared" ref="AI18" ca="1" si="245">IF(AI19-AH21&lt;0,0,AI19-AH21)</f>
        <v>0</v>
      </c>
      <c r="AJ18" s="4">
        <f t="shared" ref="AJ18" ca="1" si="246">IF(AJ19-AI21&lt;0,0,AJ19-AI21)</f>
        <v>0</v>
      </c>
      <c r="AK18" s="4">
        <f t="shared" ref="AK18" ca="1" si="247">IF(AK19-AJ21&lt;0,0,AK19-AJ21)</f>
        <v>0</v>
      </c>
      <c r="AL18" s="4">
        <f t="shared" ref="AL18" ca="1" si="248">IF(AL19-AK21&lt;0,0,AL19-AK21)</f>
        <v>0</v>
      </c>
      <c r="AM18" s="4">
        <f t="shared" ref="AM18" ca="1" si="249">IF(AM19-AL21&lt;0,0,AM19-AL21)</f>
        <v>0</v>
      </c>
      <c r="AN18" s="4">
        <f t="shared" ref="AN18" ca="1" si="250">IF(AN19-AM21&lt;0,0,AN19-AM21)</f>
        <v>0</v>
      </c>
      <c r="AO18" s="4">
        <f t="shared" ref="AO18" ca="1" si="251">IF(AO19-AN21&lt;0,0,AO19-AN21)</f>
        <v>0</v>
      </c>
      <c r="AP18" s="4">
        <f t="shared" ref="AP18" ca="1" si="252">IF(AP19-AO21&lt;0,0,AP19-AO21)</f>
        <v>0</v>
      </c>
      <c r="AQ18" s="4">
        <f t="shared" ref="AQ18" ca="1" si="253">IF(AQ19-AP21&lt;0,0,AQ19-AP21)</f>
        <v>0</v>
      </c>
      <c r="AR18" s="4">
        <f t="shared" ref="AR18" ca="1" si="254">IF(AR19-AQ21&lt;0,0,AR19-AQ21)</f>
        <v>0</v>
      </c>
      <c r="AS18" s="4">
        <f t="shared" ref="AS18" ca="1" si="255">IF(AS19-AR21&lt;0,0,AS19-AR21)</f>
        <v>0</v>
      </c>
      <c r="AT18" s="4">
        <f t="shared" ref="AT18" ca="1" si="256">IF(AT19-AS21&lt;0,0,AT19-AS21)</f>
        <v>0</v>
      </c>
      <c r="AU18" s="4">
        <f t="shared" ref="AU18" ca="1" si="257">IF(AU19-AT21&lt;0,0,AU19-AT21)</f>
        <v>0</v>
      </c>
      <c r="AV18" s="4">
        <f t="shared" ref="AV18" ca="1" si="258">IF(AV19-AU21&lt;0,0,AV19-AU21)</f>
        <v>0</v>
      </c>
      <c r="AW18" s="4">
        <f t="shared" ref="AW18" ca="1" si="259">IF(AW19-AV21&lt;0,0,AW19-AV21)</f>
        <v>0</v>
      </c>
      <c r="AX18" s="4">
        <f t="shared" ref="AX18" ca="1" si="260">IF(AX19-AW21&lt;0,0,AX19-AW21)</f>
        <v>0</v>
      </c>
      <c r="AY18" s="4">
        <f t="shared" ref="AY18" ca="1" si="261">IF(AY19-AX21&lt;0,0,AY19-AX21)</f>
        <v>0</v>
      </c>
      <c r="AZ18" s="4">
        <f t="shared" ref="AZ18" ca="1" si="262">IF(AZ19-AY21&lt;0,0,AZ19-AY21)</f>
        <v>0</v>
      </c>
      <c r="BA18" s="4">
        <f t="shared" ref="BA18" ca="1" si="263">IF(BA19-AZ21&lt;0,0,BA19-AZ21)</f>
        <v>0</v>
      </c>
      <c r="BB18" s="4">
        <f t="shared" ref="BB18" ca="1" si="264">IF(BB19-BA21&lt;0,0,BB19-BA21)</f>
        <v>0</v>
      </c>
      <c r="BC18" s="4">
        <f t="shared" ref="BC18" ca="1" si="265">IF(BC19-BB21&lt;0,0,BC19-BB21)</f>
        <v>0</v>
      </c>
      <c r="BD18" s="4">
        <f t="shared" ref="BD18" ca="1" si="266">IF(BD19-BC21&lt;0,0,BD19-BC21)</f>
        <v>0</v>
      </c>
      <c r="BE18" s="4">
        <f t="shared" ref="BE18" ca="1" si="267">IF(BE19-BD21&lt;0,0,BE19-BD21)</f>
        <v>0</v>
      </c>
      <c r="BF18" s="4">
        <f t="shared" ref="BF18" ca="1" si="268">IF(BF19-BE21&lt;0,0,BF19-BE21)</f>
        <v>0</v>
      </c>
      <c r="BG18" s="4">
        <f t="shared" ref="BG18" ca="1" si="269">IF(BG19-BF21&lt;0,0,BG19-BF21)</f>
        <v>0</v>
      </c>
      <c r="BH18" s="4">
        <f t="shared" ref="BH18" ca="1" si="270">IF(BH19-BG21&lt;0,0,BH19-BG21)</f>
        <v>0</v>
      </c>
      <c r="BI18" s="4">
        <f t="shared" ref="BI18" ca="1" si="271">IF(BI19-BH21&lt;0,0,BI19-BH21)</f>
        <v>0</v>
      </c>
      <c r="BJ18" s="4">
        <f t="shared" ref="BJ18" ca="1" si="272">IF(BJ19-BI21&lt;0,0,BJ19-BI21)</f>
        <v>0</v>
      </c>
      <c r="BK18" s="4">
        <f t="shared" ref="BK18" ca="1" si="273">IF(BK19-BJ21&lt;0,0,BK19-BJ21)</f>
        <v>0</v>
      </c>
      <c r="BL18" s="4">
        <f t="shared" ref="BL18" ca="1" si="274">IF(BL19-BK21&lt;0,0,BL19-BK21)</f>
        <v>0</v>
      </c>
      <c r="BM18" s="4">
        <f t="shared" ref="BM18" ca="1" si="275">IF(BM19-BL21&lt;0,0,BM19-BL21)</f>
        <v>0</v>
      </c>
      <c r="BN18" s="4">
        <f t="shared" ref="BN18" ca="1" si="276">IF(BN19-BM21&lt;0,0,BN19-BM21)</f>
        <v>0</v>
      </c>
      <c r="BO18" s="4">
        <f t="shared" ref="BO18" ca="1" si="277">IF(BO19-BN21&lt;0,0,BO19-BN21)</f>
        <v>0</v>
      </c>
      <c r="BP18" s="4">
        <f t="shared" ref="BP18" ca="1" si="278">IF(BP19-BO21&lt;0,0,BP19-BO21)</f>
        <v>0</v>
      </c>
      <c r="BQ18" s="4">
        <f t="shared" ref="BQ18" ca="1" si="279">IF(BQ19-BP21&lt;0,0,BQ19-BP21)</f>
        <v>0</v>
      </c>
      <c r="BR18" s="4">
        <f t="shared" ref="BR18" ca="1" si="280">IF(BR19-BQ21&lt;0,0,BR19-BQ21)</f>
        <v>0</v>
      </c>
      <c r="BS18" s="4">
        <f t="shared" ref="BS18" ca="1" si="281">IF(BS19-BR21&lt;0,0,BS19-BR21)</f>
        <v>0</v>
      </c>
      <c r="BT18" s="4">
        <f t="shared" ref="BT18" ca="1" si="282">IF(BT19-BS21&lt;0,0,BT19-BS21)</f>
        <v>0</v>
      </c>
      <c r="BU18" s="4">
        <f t="shared" ref="BU18" ca="1" si="283">IF(BU19-BT21&lt;0,0,BU19-BT21)</f>
        <v>0</v>
      </c>
      <c r="BV18" s="4">
        <f t="shared" ref="BV18" ca="1" si="284">IF(BV19-BU21&lt;0,0,BV19-BU21)</f>
        <v>0</v>
      </c>
      <c r="BW18" s="5">
        <f t="shared" ref="BW18" ca="1" si="285">IF(BW19-BV21&lt;0,0,BW19-BV21)</f>
        <v>0</v>
      </c>
    </row>
    <row r="19" spans="1:75" ht="18.75" x14ac:dyDescent="0.3">
      <c r="A19" s="16" t="s">
        <v>65</v>
      </c>
      <c r="B19" s="18" t="s">
        <v>1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4"/>
      <c r="AA19" s="5"/>
      <c r="AB19" s="4"/>
      <c r="AC19" s="5"/>
      <c r="AD19" s="4"/>
      <c r="AE19" s="5"/>
      <c r="AF19" s="4"/>
      <c r="AG19" s="5"/>
      <c r="AH19" s="4">
        <v>5</v>
      </c>
      <c r="AI19" s="5"/>
      <c r="AJ19" s="4">
        <v>4</v>
      </c>
      <c r="AK19" s="5"/>
      <c r="AL19" s="4"/>
      <c r="AM19" s="5"/>
      <c r="AN19" s="4"/>
      <c r="AO19" s="5">
        <v>8</v>
      </c>
      <c r="AP19" s="4"/>
      <c r="AQ19" s="5"/>
      <c r="AR19" s="4"/>
      <c r="AS19" s="5">
        <v>4</v>
      </c>
      <c r="AT19" s="4"/>
      <c r="AU19" s="5"/>
      <c r="AV19" s="4"/>
      <c r="AW19" s="5">
        <v>2</v>
      </c>
      <c r="AX19" s="4"/>
      <c r="AY19" s="5"/>
      <c r="AZ19" s="4"/>
      <c r="BA19" s="5"/>
      <c r="BB19" s="4"/>
      <c r="BC19" s="5"/>
      <c r="BD19" s="4"/>
      <c r="BE19" s="5"/>
      <c r="BF19" s="4"/>
      <c r="BG19" s="5"/>
      <c r="BH19" s="4"/>
      <c r="BI19" s="5"/>
      <c r="BJ19" s="4"/>
      <c r="BK19" s="5"/>
      <c r="BL19" s="4"/>
      <c r="BM19" s="5"/>
      <c r="BN19" s="4"/>
      <c r="BO19" s="5"/>
      <c r="BP19" s="4"/>
      <c r="BQ19" s="5"/>
      <c r="BR19" s="4"/>
      <c r="BS19" s="5"/>
      <c r="BT19" s="4"/>
      <c r="BU19" s="5"/>
      <c r="BV19" s="4"/>
      <c r="BW19" s="5"/>
    </row>
    <row r="20" spans="1:75" ht="18.75" x14ac:dyDescent="0.3">
      <c r="A20" s="19"/>
      <c r="B20" s="20" t="s">
        <v>2</v>
      </c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f t="shared" ref="Y20:BW20" ca="1" si="286">OFFSET(Y20,2,-$B17,1,1)</f>
        <v>0</v>
      </c>
      <c r="Z20" s="4">
        <f t="shared" ca="1" si="286"/>
        <v>0</v>
      </c>
      <c r="AA20" s="4">
        <f t="shared" ca="1" si="286"/>
        <v>0</v>
      </c>
      <c r="AB20" s="4">
        <f t="shared" ca="1" si="286"/>
        <v>0</v>
      </c>
      <c r="AC20" s="4">
        <f t="shared" ca="1" si="286"/>
        <v>0</v>
      </c>
      <c r="AD20" s="4">
        <f t="shared" ca="1" si="286"/>
        <v>0</v>
      </c>
      <c r="AE20" s="4">
        <f t="shared" ca="1" si="286"/>
        <v>0</v>
      </c>
      <c r="AF20" s="4">
        <f t="shared" ca="1" si="286"/>
        <v>0</v>
      </c>
      <c r="AG20" s="4">
        <f t="shared" ca="1" si="286"/>
        <v>0</v>
      </c>
      <c r="AH20" s="4">
        <f t="shared" ca="1" si="286"/>
        <v>0</v>
      </c>
      <c r="AI20" s="4">
        <f t="shared" ca="1" si="286"/>
        <v>0</v>
      </c>
      <c r="AJ20" s="4">
        <f t="shared" ca="1" si="286"/>
        <v>0</v>
      </c>
      <c r="AK20" s="4">
        <f t="shared" ca="1" si="286"/>
        <v>0</v>
      </c>
      <c r="AL20" s="4">
        <f t="shared" ca="1" si="286"/>
        <v>0</v>
      </c>
      <c r="AM20" s="4">
        <f t="shared" ca="1" si="286"/>
        <v>0</v>
      </c>
      <c r="AN20" s="4">
        <f t="shared" ca="1" si="286"/>
        <v>0</v>
      </c>
      <c r="AO20" s="4">
        <f t="shared" ca="1" si="286"/>
        <v>0</v>
      </c>
      <c r="AP20" s="4">
        <f t="shared" ca="1" si="286"/>
        <v>0</v>
      </c>
      <c r="AQ20" s="4">
        <f t="shared" ca="1" si="286"/>
        <v>0</v>
      </c>
      <c r="AR20" s="4">
        <f t="shared" ca="1" si="286"/>
        <v>0</v>
      </c>
      <c r="AS20" s="4">
        <f t="shared" ca="1" si="286"/>
        <v>0</v>
      </c>
      <c r="AT20" s="4">
        <f t="shared" ca="1" si="286"/>
        <v>0</v>
      </c>
      <c r="AU20" s="4">
        <f t="shared" ca="1" si="286"/>
        <v>0</v>
      </c>
      <c r="AV20" s="4">
        <f t="shared" ca="1" si="286"/>
        <v>0</v>
      </c>
      <c r="AW20" s="4">
        <f t="shared" ca="1" si="286"/>
        <v>0</v>
      </c>
      <c r="AX20" s="4">
        <f t="shared" ca="1" si="286"/>
        <v>0</v>
      </c>
      <c r="AY20" s="4">
        <f t="shared" ca="1" si="286"/>
        <v>0</v>
      </c>
      <c r="AZ20" s="4">
        <f t="shared" ca="1" si="286"/>
        <v>0</v>
      </c>
      <c r="BA20" s="4">
        <f t="shared" ca="1" si="286"/>
        <v>0</v>
      </c>
      <c r="BB20" s="4">
        <f t="shared" ca="1" si="286"/>
        <v>0</v>
      </c>
      <c r="BC20" s="4">
        <f t="shared" ca="1" si="286"/>
        <v>0</v>
      </c>
      <c r="BD20" s="4">
        <f t="shared" ca="1" si="286"/>
        <v>0</v>
      </c>
      <c r="BE20" s="4">
        <f t="shared" ca="1" si="286"/>
        <v>0</v>
      </c>
      <c r="BF20" s="4">
        <f t="shared" ca="1" si="286"/>
        <v>0</v>
      </c>
      <c r="BG20" s="4">
        <f t="shared" ca="1" si="286"/>
        <v>0</v>
      </c>
      <c r="BH20" s="4">
        <f t="shared" ca="1" si="286"/>
        <v>0</v>
      </c>
      <c r="BI20" s="4">
        <f t="shared" ca="1" si="286"/>
        <v>0</v>
      </c>
      <c r="BJ20" s="4">
        <f t="shared" ca="1" si="286"/>
        <v>0</v>
      </c>
      <c r="BK20" s="4">
        <f t="shared" ca="1" si="286"/>
        <v>0</v>
      </c>
      <c r="BL20" s="4">
        <f t="shared" ca="1" si="286"/>
        <v>0</v>
      </c>
      <c r="BM20" s="4">
        <f t="shared" ca="1" si="286"/>
        <v>0</v>
      </c>
      <c r="BN20" s="4">
        <f t="shared" ca="1" si="286"/>
        <v>0</v>
      </c>
      <c r="BO20" s="4">
        <f t="shared" ca="1" si="286"/>
        <v>0</v>
      </c>
      <c r="BP20" s="4">
        <f t="shared" ca="1" si="286"/>
        <v>0</v>
      </c>
      <c r="BQ20" s="4">
        <f t="shared" ca="1" si="286"/>
        <v>0</v>
      </c>
      <c r="BR20" s="4">
        <f t="shared" ca="1" si="286"/>
        <v>0</v>
      </c>
      <c r="BS20" s="4">
        <f t="shared" ca="1" si="286"/>
        <v>0</v>
      </c>
      <c r="BT20" s="4">
        <f t="shared" ca="1" si="286"/>
        <v>0</v>
      </c>
      <c r="BU20" s="4">
        <f t="shared" ca="1" si="286"/>
        <v>0</v>
      </c>
      <c r="BV20" s="4">
        <f t="shared" ca="1" si="286"/>
        <v>0</v>
      </c>
      <c r="BW20" s="5">
        <f t="shared" ca="1" si="286"/>
        <v>0</v>
      </c>
    </row>
    <row r="21" spans="1:75" ht="18.75" x14ac:dyDescent="0.3">
      <c r="A21" s="19" t="s">
        <v>3</v>
      </c>
      <c r="B21" s="20">
        <v>100</v>
      </c>
      <c r="C21" s="9">
        <f>B21-C19+C20</f>
        <v>100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f t="shared" ref="Q21" si="287">C21-Q19+Q20</f>
        <v>100</v>
      </c>
      <c r="R21" s="11">
        <f t="shared" ref="R21" si="288">Q21-R19+R20</f>
        <v>100</v>
      </c>
      <c r="S21" s="11">
        <f>R21-S19+S20</f>
        <v>100</v>
      </c>
      <c r="T21" s="11">
        <f t="shared" ref="T21" si="289">S21-T19+T20</f>
        <v>100</v>
      </c>
      <c r="U21" s="11">
        <f t="shared" ref="U21" si="290">T21-U19+U20</f>
        <v>100</v>
      </c>
      <c r="V21" s="11">
        <f t="shared" ref="V21" si="291">U21-V19+V20</f>
        <v>100</v>
      </c>
      <c r="W21" s="11">
        <f t="shared" ref="W21" si="292">V21-W19+W20</f>
        <v>100</v>
      </c>
      <c r="X21" s="11">
        <f t="shared" ref="X21" si="293">W21-X19+X20</f>
        <v>100</v>
      </c>
      <c r="Y21" s="10">
        <f t="shared" ref="Y21" ca="1" si="294">X21-Y19+Y20</f>
        <v>100</v>
      </c>
      <c r="Z21" s="11">
        <f t="shared" ref="Z21" ca="1" si="295">Y21-Z19+Z20</f>
        <v>100</v>
      </c>
      <c r="AA21" s="10">
        <f t="shared" ref="AA21" ca="1" si="296">Z21-AA19+AA20</f>
        <v>100</v>
      </c>
      <c r="AB21" s="11">
        <f t="shared" ref="AB21" ca="1" si="297">AA21-AB19+AB20</f>
        <v>100</v>
      </c>
      <c r="AC21" s="10">
        <f t="shared" ref="AC21" ca="1" si="298">AB21-AC19+AC20</f>
        <v>100</v>
      </c>
      <c r="AD21" s="11">
        <f t="shared" ref="AD21" ca="1" si="299">AC21-AD19+AD20</f>
        <v>100</v>
      </c>
      <c r="AE21" s="10">
        <f t="shared" ref="AE21" ca="1" si="300">AD21-AE19+AE20</f>
        <v>100</v>
      </c>
      <c r="AF21" s="11">
        <f t="shared" ref="AF21" ca="1" si="301">AE21-AF19+AF20</f>
        <v>100</v>
      </c>
      <c r="AG21" s="10">
        <f t="shared" ref="AG21" ca="1" si="302">AF21-AG19+AG20</f>
        <v>100</v>
      </c>
      <c r="AH21" s="11">
        <f t="shared" ref="AH21" ca="1" si="303">AG21-AH19+AH20</f>
        <v>95</v>
      </c>
      <c r="AI21" s="10">
        <f t="shared" ref="AI21" ca="1" si="304">AH21-AI19+AI20</f>
        <v>95</v>
      </c>
      <c r="AJ21" s="11">
        <f t="shared" ref="AJ21" ca="1" si="305">AI21-AJ19+AJ20</f>
        <v>91</v>
      </c>
      <c r="AK21" s="10">
        <f t="shared" ref="AK21" ca="1" si="306">AJ21-AK19+AK20</f>
        <v>91</v>
      </c>
      <c r="AL21" s="11">
        <f t="shared" ref="AL21" ca="1" si="307">AK21-AL19+AL20</f>
        <v>91</v>
      </c>
      <c r="AM21" s="10">
        <f t="shared" ref="AM21" ca="1" si="308">AL21-AM19+AM20</f>
        <v>91</v>
      </c>
      <c r="AN21" s="11">
        <f t="shared" ref="AN21" ca="1" si="309">AM21-AN19+AN20</f>
        <v>91</v>
      </c>
      <c r="AO21" s="10">
        <f t="shared" ref="AO21" ca="1" si="310">AN21-AO19+AO20</f>
        <v>83</v>
      </c>
      <c r="AP21" s="11">
        <f t="shared" ref="AP21" ca="1" si="311">AO21-AP19+AP20</f>
        <v>83</v>
      </c>
      <c r="AQ21" s="10">
        <f t="shared" ref="AQ21" ca="1" si="312">AP21-AQ19+AQ20</f>
        <v>83</v>
      </c>
      <c r="AR21" s="11">
        <f t="shared" ref="AR21" ca="1" si="313">AQ21-AR19+AR20</f>
        <v>83</v>
      </c>
      <c r="AS21" s="10">
        <f t="shared" ref="AS21" ca="1" si="314">AR21-AS19+AS20</f>
        <v>79</v>
      </c>
      <c r="AT21" s="11">
        <f t="shared" ref="AT21" ca="1" si="315">AS21-AT19+AT20</f>
        <v>79</v>
      </c>
      <c r="AU21" s="10">
        <f t="shared" ref="AU21" ca="1" si="316">AT21-AU19+AU20</f>
        <v>79</v>
      </c>
      <c r="AV21" s="11">
        <f t="shared" ref="AV21" ca="1" si="317">AU21-AV19+AV20</f>
        <v>79</v>
      </c>
      <c r="AW21" s="10">
        <f t="shared" ref="AW21" ca="1" si="318">AV21-AW19+AW20</f>
        <v>77</v>
      </c>
      <c r="AX21" s="11">
        <f t="shared" ref="AX21" ca="1" si="319">AW21-AX19+AX20</f>
        <v>77</v>
      </c>
      <c r="AY21" s="10">
        <f t="shared" ref="AY21" ca="1" si="320">AX21-AY19+AY20</f>
        <v>77</v>
      </c>
      <c r="AZ21" s="11">
        <f t="shared" ref="AZ21" ca="1" si="321">AY21-AZ19+AZ20</f>
        <v>77</v>
      </c>
      <c r="BA21" s="10">
        <f t="shared" ref="BA21" ca="1" si="322">AZ21-BA19+BA20</f>
        <v>77</v>
      </c>
      <c r="BB21" s="11">
        <f t="shared" ref="BB21" ca="1" si="323">BA21-BB19+BB20</f>
        <v>77</v>
      </c>
      <c r="BC21" s="10">
        <f t="shared" ref="BC21" ca="1" si="324">BB21-BC19+BC20</f>
        <v>77</v>
      </c>
      <c r="BD21" s="11">
        <f t="shared" ref="BD21" ca="1" si="325">BC21-BD19+BD20</f>
        <v>77</v>
      </c>
      <c r="BE21" s="10">
        <f t="shared" ref="BE21" ca="1" si="326">BD21-BE19+BE20</f>
        <v>77</v>
      </c>
      <c r="BF21" s="11">
        <f t="shared" ref="BF21" ca="1" si="327">BE21-BF19+BF20</f>
        <v>77</v>
      </c>
      <c r="BG21" s="10">
        <f t="shared" ref="BG21" ca="1" si="328">BF21-BG19+BG20</f>
        <v>77</v>
      </c>
      <c r="BH21" s="11">
        <f t="shared" ref="BH21" ca="1" si="329">BG21-BH19+BH20</f>
        <v>77</v>
      </c>
      <c r="BI21" s="10">
        <f t="shared" ref="BI21" ca="1" si="330">BH21-BI19+BI20</f>
        <v>77</v>
      </c>
      <c r="BJ21" s="11">
        <f t="shared" ref="BJ21" ca="1" si="331">BI21-BJ19+BJ20</f>
        <v>77</v>
      </c>
      <c r="BK21" s="10">
        <f t="shared" ref="BK21" ca="1" si="332">BJ21-BK19+BK20</f>
        <v>77</v>
      </c>
      <c r="BL21" s="11">
        <f t="shared" ref="BL21" ca="1" si="333">BK21-BL19+BL20</f>
        <v>77</v>
      </c>
      <c r="BM21" s="10">
        <f t="shared" ref="BM21" ca="1" si="334">BL21-BM19+BM20</f>
        <v>77</v>
      </c>
      <c r="BN21" s="11">
        <f t="shared" ref="BN21" ca="1" si="335">BM21-BN19+BN20</f>
        <v>77</v>
      </c>
      <c r="BO21" s="10">
        <f t="shared" ref="BO21" ca="1" si="336">BN21-BO19+BO20</f>
        <v>77</v>
      </c>
      <c r="BP21" s="11">
        <f t="shared" ref="BP21" ca="1" si="337">BO21-BP19+BP20</f>
        <v>77</v>
      </c>
      <c r="BQ21" s="10">
        <f t="shared" ref="BQ21" ca="1" si="338">BP21-BQ19+BQ20</f>
        <v>77</v>
      </c>
      <c r="BR21" s="11">
        <f t="shared" ref="BR21" ca="1" si="339">BQ21-BR19+BR20</f>
        <v>77</v>
      </c>
      <c r="BS21" s="10">
        <f t="shared" ref="BS21" ca="1" si="340">BR21-BS19+BS20</f>
        <v>77</v>
      </c>
      <c r="BT21" s="11">
        <f t="shared" ref="BT21" ca="1" si="341">BS21-BT19+BT20</f>
        <v>77</v>
      </c>
      <c r="BU21" s="10">
        <f t="shared" ref="BU21" ca="1" si="342">BT21-BU19+BU20</f>
        <v>77</v>
      </c>
      <c r="BV21" s="11">
        <f t="shared" ref="BV21" ca="1" si="343">BU21-BV19+BV20</f>
        <v>77</v>
      </c>
      <c r="BW21" s="10">
        <f t="shared" ref="BW21" ca="1" si="344">BV21-BW19+BW20</f>
        <v>77</v>
      </c>
    </row>
    <row r="22" spans="1:75" s="43" customFormat="1" ht="18.75" x14ac:dyDescent="0.3">
      <c r="A22" s="39"/>
      <c r="B22" s="40" t="s">
        <v>16</v>
      </c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>
        <f t="shared" ref="X22:Y22" ca="1" si="345">OFFSET(X22,-4,$B17,1,1)</f>
        <v>0</v>
      </c>
      <c r="Y22" s="42">
        <f t="shared" ca="1" si="345"/>
        <v>0</v>
      </c>
      <c r="Z22" s="42">
        <f ca="1">ROUNDUP(OFFSET(Z22,-4,$B17,1,1)/252,)*20</f>
        <v>0</v>
      </c>
      <c r="AA22" s="42">
        <f t="shared" ref="AA22" ca="1" si="346">ROUNDUP(OFFSET(AA22,-4,$B17,1,1)/252,)*20</f>
        <v>0</v>
      </c>
      <c r="AB22" s="42">
        <f ca="1">ROUNDUP(OFFSET(AB22,-4,$B17,1,1)/252,)*252</f>
        <v>0</v>
      </c>
      <c r="AC22" s="42">
        <f t="shared" ref="AC22:BW22" ca="1" si="347">ROUNDUP(OFFSET(AC22,-4,$B17,1,1)/252,)*252</f>
        <v>0</v>
      </c>
      <c r="AD22" s="42">
        <f t="shared" ca="1" si="347"/>
        <v>0</v>
      </c>
      <c r="AE22" s="42">
        <f t="shared" ca="1" si="347"/>
        <v>0</v>
      </c>
      <c r="AF22" s="42">
        <f t="shared" ca="1" si="347"/>
        <v>0</v>
      </c>
      <c r="AG22" s="42">
        <f t="shared" ca="1" si="347"/>
        <v>0</v>
      </c>
      <c r="AH22" s="42">
        <f t="shared" ca="1" si="347"/>
        <v>0</v>
      </c>
      <c r="AI22" s="42">
        <f t="shared" ca="1" si="347"/>
        <v>0</v>
      </c>
      <c r="AJ22" s="42">
        <f t="shared" ca="1" si="347"/>
        <v>0</v>
      </c>
      <c r="AK22" s="42">
        <f t="shared" ca="1" si="347"/>
        <v>0</v>
      </c>
      <c r="AL22" s="42">
        <f t="shared" ca="1" si="347"/>
        <v>0</v>
      </c>
      <c r="AM22" s="42">
        <f t="shared" ca="1" si="347"/>
        <v>0</v>
      </c>
      <c r="AN22" s="42">
        <f t="shared" ca="1" si="347"/>
        <v>0</v>
      </c>
      <c r="AO22" s="42">
        <f t="shared" ca="1" si="347"/>
        <v>0</v>
      </c>
      <c r="AP22" s="42">
        <f t="shared" ca="1" si="347"/>
        <v>0</v>
      </c>
      <c r="AQ22" s="42">
        <f t="shared" ca="1" si="347"/>
        <v>0</v>
      </c>
      <c r="AR22" s="42">
        <f t="shared" ca="1" si="347"/>
        <v>0</v>
      </c>
      <c r="AS22" s="42">
        <f t="shared" ca="1" si="347"/>
        <v>0</v>
      </c>
      <c r="AT22" s="42">
        <f t="shared" ca="1" si="347"/>
        <v>0</v>
      </c>
      <c r="AU22" s="42">
        <f t="shared" ca="1" si="347"/>
        <v>0</v>
      </c>
      <c r="AV22" s="42">
        <f t="shared" ca="1" si="347"/>
        <v>0</v>
      </c>
      <c r="AW22" s="42">
        <f t="shared" ca="1" si="347"/>
        <v>0</v>
      </c>
      <c r="AX22" s="42">
        <f t="shared" ca="1" si="347"/>
        <v>0</v>
      </c>
      <c r="AY22" s="42">
        <f t="shared" ca="1" si="347"/>
        <v>0</v>
      </c>
      <c r="AZ22" s="42">
        <f t="shared" ca="1" si="347"/>
        <v>0</v>
      </c>
      <c r="BA22" s="42">
        <f t="shared" ca="1" si="347"/>
        <v>0</v>
      </c>
      <c r="BB22" s="42">
        <f t="shared" ca="1" si="347"/>
        <v>0</v>
      </c>
      <c r="BC22" s="42">
        <f t="shared" ca="1" si="347"/>
        <v>0</v>
      </c>
      <c r="BD22" s="42">
        <f t="shared" ca="1" si="347"/>
        <v>0</v>
      </c>
      <c r="BE22" s="42">
        <f t="shared" ca="1" si="347"/>
        <v>0</v>
      </c>
      <c r="BF22" s="42">
        <f t="shared" ca="1" si="347"/>
        <v>0</v>
      </c>
      <c r="BG22" s="42">
        <f t="shared" ca="1" si="347"/>
        <v>0</v>
      </c>
      <c r="BH22" s="42">
        <f t="shared" ca="1" si="347"/>
        <v>0</v>
      </c>
      <c r="BI22" s="42">
        <f t="shared" ca="1" si="347"/>
        <v>0</v>
      </c>
      <c r="BJ22" s="42">
        <f t="shared" ca="1" si="347"/>
        <v>0</v>
      </c>
      <c r="BK22" s="42">
        <f t="shared" ca="1" si="347"/>
        <v>0</v>
      </c>
      <c r="BL22" s="42">
        <f t="shared" ca="1" si="347"/>
        <v>0</v>
      </c>
      <c r="BM22" s="42">
        <f t="shared" ca="1" si="347"/>
        <v>0</v>
      </c>
      <c r="BN22" s="42">
        <f t="shared" ca="1" si="347"/>
        <v>0</v>
      </c>
      <c r="BO22" s="42">
        <f t="shared" ca="1" si="347"/>
        <v>0</v>
      </c>
      <c r="BP22" s="42">
        <f t="shared" ca="1" si="347"/>
        <v>0</v>
      </c>
      <c r="BQ22" s="42">
        <f t="shared" ca="1" si="347"/>
        <v>0</v>
      </c>
      <c r="BR22" s="42">
        <f t="shared" ca="1" si="347"/>
        <v>0</v>
      </c>
      <c r="BS22" s="42">
        <f t="shared" ca="1" si="347"/>
        <v>0</v>
      </c>
      <c r="BT22" s="42">
        <f t="shared" ca="1" si="347"/>
        <v>0</v>
      </c>
      <c r="BU22" s="42">
        <f t="shared" ca="1" si="347"/>
        <v>0</v>
      </c>
      <c r="BV22" s="42">
        <f t="shared" ca="1" si="347"/>
        <v>0</v>
      </c>
      <c r="BW22" s="42">
        <f t="shared" ca="1" si="347"/>
        <v>0</v>
      </c>
    </row>
    <row r="23" spans="1:75" ht="50.25" customHeight="1" x14ac:dyDescent="0.3">
      <c r="A23" s="28" t="s">
        <v>0</v>
      </c>
      <c r="B23" s="29" t="s">
        <v>71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8"/>
    </row>
    <row r="24" spans="1:75" ht="18.75" x14ac:dyDescent="0.3">
      <c r="A24" s="28" t="s">
        <v>4</v>
      </c>
      <c r="B24" s="30">
        <v>13</v>
      </c>
      <c r="C24" s="9"/>
      <c r="D24" s="11"/>
      <c r="E24" s="11"/>
      <c r="F24" s="11"/>
      <c r="G24" s="11"/>
      <c r="H24" s="11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5"/>
    </row>
    <row r="25" spans="1:75" ht="18.75" x14ac:dyDescent="0.3">
      <c r="A25" s="31" t="s">
        <v>68</v>
      </c>
      <c r="B25" s="32" t="s">
        <v>17</v>
      </c>
      <c r="C25" s="3">
        <f>IF(C26-B28&lt;0,0,C26-B28)</f>
        <v>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>
        <f t="shared" ref="R25" si="348">IF(R26-Q28&lt;0,0,R26-Q28)</f>
        <v>0</v>
      </c>
      <c r="S25" s="4">
        <f t="shared" ref="S25" ca="1" si="349">IF(S26-R28&lt;0,0,S26-R28)</f>
        <v>0</v>
      </c>
      <c r="T25" s="4">
        <f t="shared" ref="T25" ca="1" si="350">IF(T26-S28&lt;0,0,T26-S28)</f>
        <v>0</v>
      </c>
      <c r="U25" s="4">
        <f t="shared" ref="U25" ca="1" si="351">IF(U26-T28&lt;0,0,U26-T28)</f>
        <v>0</v>
      </c>
      <c r="V25" s="4">
        <f t="shared" ref="V25" ca="1" si="352">IF(V26-U28&lt;0,0,V26-U28)</f>
        <v>0</v>
      </c>
      <c r="W25" s="4">
        <f t="shared" ref="W25" ca="1" si="353">IF(W26-V28&lt;0,0,W26-V28)</f>
        <v>0</v>
      </c>
      <c r="X25" s="4">
        <f t="shared" ref="X25" ca="1" si="354">IF(X26-W28&lt;0,0,X26-W28)</f>
        <v>0</v>
      </c>
      <c r="Y25" s="4">
        <f t="shared" ref="Y25" ca="1" si="355">IF(Y26-X28&lt;0,0,Y26-X28)</f>
        <v>0</v>
      </c>
      <c r="Z25" s="4">
        <f t="shared" ref="Z25" ca="1" si="356">IF(Z26-Y28&lt;0,0,Z26-Y28)</f>
        <v>0</v>
      </c>
      <c r="AA25" s="4">
        <f t="shared" ref="AA25" ca="1" si="357">IF(AA26-Z28&lt;0,0,AA26-Z28)</f>
        <v>0</v>
      </c>
      <c r="AB25" s="4">
        <f t="shared" ref="AB25" ca="1" si="358">IF(AB26-AA28&lt;0,0,AB26-AA28)</f>
        <v>0</v>
      </c>
      <c r="AC25" s="4">
        <f t="shared" ref="AC25" ca="1" si="359">IF(AC26-AB28&lt;0,0,AC26-AB28)</f>
        <v>0</v>
      </c>
      <c r="AD25" s="4">
        <f t="shared" ref="AD25" ca="1" si="360">IF(AD26-AC28&lt;0,0,AD26-AC28)</f>
        <v>0</v>
      </c>
      <c r="AE25" s="4">
        <f t="shared" ref="AE25" ca="1" si="361">IF(AE26-AD28&lt;0,0,AE26-AD28)</f>
        <v>0</v>
      </c>
      <c r="AF25" s="4">
        <f t="shared" ref="AF25" ca="1" si="362">IF(AF26-AE28&lt;0,0,AF26-AE28)</f>
        <v>0</v>
      </c>
      <c r="AG25" s="4">
        <f t="shared" ref="AG25" ca="1" si="363">IF(AG26-AF28&lt;0,0,AG26-AF28)</f>
        <v>0</v>
      </c>
      <c r="AH25" s="4">
        <f t="shared" ref="AH25" ca="1" si="364">IF(AH26-AG28&lt;0,0,AH26-AG28)</f>
        <v>0</v>
      </c>
      <c r="AI25" s="4">
        <f t="shared" ref="AI25" ca="1" si="365">IF(AI26-AH28&lt;0,0,AI26-AH28)</f>
        <v>0</v>
      </c>
      <c r="AJ25" s="4">
        <f t="shared" ref="AJ25" ca="1" si="366">IF(AJ26-AI28&lt;0,0,AJ26-AI28)</f>
        <v>0</v>
      </c>
      <c r="AK25" s="4">
        <f t="shared" ref="AK25" ca="1" si="367">IF(AK26-AJ28&lt;0,0,AK26-AJ28)</f>
        <v>60</v>
      </c>
      <c r="AL25" s="4">
        <f t="shared" ref="AL25" ca="1" si="368">IF(AL26-AK28&lt;0,0,AL26-AK28)</f>
        <v>0</v>
      </c>
      <c r="AM25" s="4">
        <f t="shared" ref="AM25" ca="1" si="369">IF(AM26-AL28&lt;0,0,AM26-AL28)</f>
        <v>0</v>
      </c>
      <c r="AN25" s="4">
        <f t="shared" ref="AN25" ca="1" si="370">IF(AN26-AM28&lt;0,0,AN26-AM28)</f>
        <v>0</v>
      </c>
      <c r="AO25" s="4">
        <f t="shared" ref="AO25" ca="1" si="371">IF(AO26-AN28&lt;0,0,AO26-AN28)</f>
        <v>268</v>
      </c>
      <c r="AP25" s="4">
        <f t="shared" ref="AP25" ca="1" si="372">IF(AP26-AO28&lt;0,0,AP26-AO28)</f>
        <v>0</v>
      </c>
      <c r="AQ25" s="4">
        <f t="shared" ref="AQ25" ca="1" si="373">IF(AQ26-AP28&lt;0,0,AQ26-AP28)</f>
        <v>0</v>
      </c>
      <c r="AR25" s="4">
        <f t="shared" ref="AR25" ca="1" si="374">IF(AR26-AQ28&lt;0,0,AR26-AQ28)</f>
        <v>0</v>
      </c>
      <c r="AS25" s="4">
        <f t="shared" ref="AS25" ca="1" si="375">IF(AS26-AR28&lt;0,0,AS26-AR28)</f>
        <v>0</v>
      </c>
      <c r="AT25" s="4">
        <f t="shared" ref="AT25" ca="1" si="376">IF(AT26-AS28&lt;0,0,AT26-AS28)</f>
        <v>0</v>
      </c>
      <c r="AU25" s="4">
        <f t="shared" ref="AU25" ca="1" si="377">IF(AU26-AT28&lt;0,0,AU26-AT28)</f>
        <v>0</v>
      </c>
      <c r="AV25" s="4">
        <f t="shared" ref="AV25" ca="1" si="378">IF(AV26-AU28&lt;0,0,AV26-AU28)</f>
        <v>0</v>
      </c>
      <c r="AW25" s="4">
        <f t="shared" ref="AW25" ca="1" si="379">IF(AW26-AV28&lt;0,0,AW26-AV28)</f>
        <v>0</v>
      </c>
      <c r="AX25" s="4">
        <f t="shared" ref="AX25" ca="1" si="380">IF(AX26-AW28&lt;0,0,AX26-AW28)</f>
        <v>0</v>
      </c>
      <c r="AY25" s="4">
        <f t="shared" ref="AY25" ca="1" si="381">IF(AY26-AX28&lt;0,0,AY26-AX28)</f>
        <v>0</v>
      </c>
      <c r="AZ25" s="4">
        <f t="shared" ref="AZ25" ca="1" si="382">IF(AZ26-AY28&lt;0,0,AZ26-AY28)</f>
        <v>0</v>
      </c>
      <c r="BA25" s="4">
        <f t="shared" ref="BA25" ca="1" si="383">IF(BA26-AZ28&lt;0,0,BA26-AZ28)</f>
        <v>0</v>
      </c>
      <c r="BB25" s="4">
        <f t="shared" ref="BB25" ca="1" si="384">IF(BB26-BA28&lt;0,0,BB26-BA28)</f>
        <v>0</v>
      </c>
      <c r="BC25" s="4">
        <f t="shared" ref="BC25" ca="1" si="385">IF(BC26-BB28&lt;0,0,BC26-BB28)</f>
        <v>0</v>
      </c>
      <c r="BD25" s="4">
        <f t="shared" ref="BD25" ca="1" si="386">IF(BD26-BC28&lt;0,0,BD26-BC28)</f>
        <v>0</v>
      </c>
      <c r="BE25" s="4">
        <f t="shared" ref="BE25" ca="1" si="387">IF(BE26-BD28&lt;0,0,BE26-BD28)</f>
        <v>0</v>
      </c>
      <c r="BF25" s="4">
        <f t="shared" ref="BF25" ca="1" si="388">IF(BF26-BE28&lt;0,0,BF26-BE28)</f>
        <v>0</v>
      </c>
      <c r="BG25" s="4">
        <f t="shared" ref="BG25" ca="1" si="389">IF(BG26-BF28&lt;0,0,BG26-BF28)</f>
        <v>0</v>
      </c>
      <c r="BH25" s="4">
        <f t="shared" ref="BH25" ca="1" si="390">IF(BH26-BG28&lt;0,0,BH26-BG28)</f>
        <v>0</v>
      </c>
      <c r="BI25" s="4">
        <f t="shared" ref="BI25" ca="1" si="391">IF(BI26-BH28&lt;0,0,BI26-BH28)</f>
        <v>0</v>
      </c>
      <c r="BJ25" s="4">
        <f t="shared" ref="BJ25" ca="1" si="392">IF(BJ26-BI28&lt;0,0,BJ26-BI28)</f>
        <v>0</v>
      </c>
      <c r="BK25" s="4">
        <f t="shared" ref="BK25" ca="1" si="393">IF(BK26-BJ28&lt;0,0,BK26-BJ28)</f>
        <v>0</v>
      </c>
      <c r="BL25" s="4">
        <f t="shared" ref="BL25" ca="1" si="394">IF(BL26-BK28&lt;0,0,BL26-BK28)</f>
        <v>0</v>
      </c>
      <c r="BM25" s="4">
        <f t="shared" ref="BM25" ca="1" si="395">IF(BM26-BL28&lt;0,0,BM26-BL28)</f>
        <v>0</v>
      </c>
      <c r="BN25" s="4">
        <f t="shared" ref="BN25" ca="1" si="396">IF(BN26-BM28&lt;0,0,BN26-BM28)</f>
        <v>0</v>
      </c>
      <c r="BO25" s="4">
        <f t="shared" ref="BO25" ca="1" si="397">IF(BO26-BN28&lt;0,0,BO26-BN28)</f>
        <v>0</v>
      </c>
      <c r="BP25" s="4">
        <f t="shared" ref="BP25" ca="1" si="398">IF(BP26-BO28&lt;0,0,BP26-BO28)</f>
        <v>0</v>
      </c>
      <c r="BQ25" s="4">
        <f t="shared" ref="BQ25" ca="1" si="399">IF(BQ26-BP28&lt;0,0,BQ26-BP28)</f>
        <v>0</v>
      </c>
      <c r="BR25" s="4">
        <f t="shared" ref="BR25" ca="1" si="400">IF(BR26-BQ28&lt;0,0,BR26-BQ28)</f>
        <v>0</v>
      </c>
      <c r="BS25" s="4">
        <f t="shared" ref="BS25" ca="1" si="401">IF(BS26-BR28&lt;0,0,BS26-BR28)</f>
        <v>0</v>
      </c>
      <c r="BT25" s="4">
        <f t="shared" ref="BT25" ca="1" si="402">IF(BT26-BS28&lt;0,0,BT26-BS28)</f>
        <v>0</v>
      </c>
      <c r="BU25" s="4">
        <f t="shared" ref="BU25" ca="1" si="403">IF(BU26-BT28&lt;0,0,BU26-BT28)</f>
        <v>0</v>
      </c>
      <c r="BV25" s="4">
        <f t="shared" ref="BV25" ca="1" si="404">IF(BV26-BU28&lt;0,0,BV26-BU28)</f>
        <v>0</v>
      </c>
      <c r="BW25" s="5">
        <f t="shared" ref="BW25" ca="1" si="405">IF(BW26-BV28&lt;0,0,BW26-BV28)</f>
        <v>0</v>
      </c>
    </row>
    <row r="26" spans="1:75" ht="18.75" x14ac:dyDescent="0.3">
      <c r="A26" s="28" t="s">
        <v>66</v>
      </c>
      <c r="B26" s="30" t="s">
        <v>1</v>
      </c>
      <c r="C26" s="3"/>
      <c r="D26" s="4"/>
      <c r="E26" s="4"/>
      <c r="F26" s="4"/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>
        <v>44</v>
      </c>
      <c r="AA26" s="5">
        <v>40</v>
      </c>
      <c r="AB26" s="4">
        <v>48</v>
      </c>
      <c r="AC26" s="5">
        <v>40</v>
      </c>
      <c r="AD26" s="4">
        <v>40</v>
      </c>
      <c r="AE26" s="5"/>
      <c r="AF26" s="4"/>
      <c r="AG26" s="5"/>
      <c r="AH26" s="4">
        <v>40</v>
      </c>
      <c r="AI26" s="5"/>
      <c r="AJ26" s="4">
        <v>0</v>
      </c>
      <c r="AK26" s="5">
        <v>60</v>
      </c>
      <c r="AL26" s="4">
        <v>60</v>
      </c>
      <c r="AM26" s="5"/>
      <c r="AN26" s="4"/>
      <c r="AO26" s="5">
        <v>400</v>
      </c>
      <c r="AP26" s="4"/>
      <c r="AQ26" s="5"/>
      <c r="AR26" s="4"/>
      <c r="AS26" s="5">
        <v>150</v>
      </c>
      <c r="AT26" s="4"/>
      <c r="AU26" s="5"/>
      <c r="AV26" s="4"/>
      <c r="AW26" s="5"/>
      <c r="AX26" s="4"/>
      <c r="AY26" s="5"/>
      <c r="AZ26" s="4"/>
      <c r="BA26" s="5"/>
      <c r="BB26" s="4"/>
      <c r="BC26" s="5"/>
      <c r="BD26" s="4"/>
      <c r="BE26" s="5"/>
      <c r="BF26" s="4"/>
      <c r="BG26" s="5"/>
      <c r="BH26" s="4"/>
      <c r="BI26" s="5"/>
      <c r="BJ26" s="4"/>
      <c r="BK26" s="5"/>
      <c r="BL26" s="4"/>
      <c r="BM26" s="5"/>
      <c r="BN26" s="4"/>
      <c r="BO26" s="5"/>
      <c r="BP26" s="4"/>
      <c r="BQ26" s="5"/>
      <c r="BR26" s="4"/>
      <c r="BS26" s="5"/>
      <c r="BT26" s="4"/>
      <c r="BU26" s="5"/>
      <c r="BV26" s="4"/>
      <c r="BW26" s="5"/>
    </row>
    <row r="27" spans="1:75" ht="18.75" x14ac:dyDescent="0.3">
      <c r="A27" s="31"/>
      <c r="B27" s="32" t="s">
        <v>2</v>
      </c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>
        <f t="shared" ref="R27:X27" ca="1" si="406">OFFSET(R27,2,-$B24,1,1)</f>
        <v>0</v>
      </c>
      <c r="S27" s="4">
        <f t="shared" ca="1" si="406"/>
        <v>0</v>
      </c>
      <c r="T27" s="4">
        <f t="shared" ca="1" si="406"/>
        <v>0</v>
      </c>
      <c r="U27" s="4">
        <f t="shared" ca="1" si="406"/>
        <v>0</v>
      </c>
      <c r="V27" s="4">
        <f t="shared" ca="1" si="406"/>
        <v>0</v>
      </c>
      <c r="W27" s="4">
        <f t="shared" ca="1" si="406"/>
        <v>0</v>
      </c>
      <c r="X27" s="4">
        <f t="shared" ca="1" si="406"/>
        <v>0</v>
      </c>
      <c r="Y27" s="4">
        <f t="shared" ref="Y27:BW27" ca="1" si="407">OFFSET(Y27,2,-$B24,1,1)</f>
        <v>0</v>
      </c>
      <c r="Z27" s="4">
        <f t="shared" ca="1" si="407"/>
        <v>0</v>
      </c>
      <c r="AA27" s="4">
        <f t="shared" ca="1" si="407"/>
        <v>0</v>
      </c>
      <c r="AB27" s="4">
        <f t="shared" ca="1" si="407"/>
        <v>0</v>
      </c>
      <c r="AC27" s="4">
        <f t="shared" ca="1" si="407"/>
        <v>0</v>
      </c>
      <c r="AD27" s="4">
        <f t="shared" ca="1" si="407"/>
        <v>0</v>
      </c>
      <c r="AE27" s="4">
        <f t="shared" ca="1" si="407"/>
        <v>0</v>
      </c>
      <c r="AF27" s="4">
        <f t="shared" ca="1" si="407"/>
        <v>0</v>
      </c>
      <c r="AG27" s="4">
        <f t="shared" ca="1" si="407"/>
        <v>0</v>
      </c>
      <c r="AH27" s="4">
        <f t="shared" ca="1" si="407"/>
        <v>0</v>
      </c>
      <c r="AI27" s="4">
        <f t="shared" ca="1" si="407"/>
        <v>0</v>
      </c>
      <c r="AJ27" s="4">
        <f t="shared" ca="1" si="407"/>
        <v>0</v>
      </c>
      <c r="AK27" s="4">
        <f t="shared" ca="1" si="407"/>
        <v>252</v>
      </c>
      <c r="AL27" s="4">
        <f t="shared" ca="1" si="407"/>
        <v>0</v>
      </c>
      <c r="AM27" s="4">
        <f t="shared" ca="1" si="407"/>
        <v>0</v>
      </c>
      <c r="AN27" s="4">
        <f t="shared" ca="1" si="407"/>
        <v>0</v>
      </c>
      <c r="AO27" s="4">
        <f t="shared" ca="1" si="407"/>
        <v>504</v>
      </c>
      <c r="AP27" s="4">
        <f t="shared" ca="1" si="407"/>
        <v>0</v>
      </c>
      <c r="AQ27" s="4">
        <f t="shared" ca="1" si="407"/>
        <v>0</v>
      </c>
      <c r="AR27" s="4">
        <f t="shared" ca="1" si="407"/>
        <v>0</v>
      </c>
      <c r="AS27" s="4">
        <f t="shared" ca="1" si="407"/>
        <v>0</v>
      </c>
      <c r="AT27" s="4">
        <f t="shared" ca="1" si="407"/>
        <v>0</v>
      </c>
      <c r="AU27" s="4">
        <f t="shared" ca="1" si="407"/>
        <v>0</v>
      </c>
      <c r="AV27" s="4">
        <f t="shared" ca="1" si="407"/>
        <v>0</v>
      </c>
      <c r="AW27" s="4">
        <f t="shared" ca="1" si="407"/>
        <v>0</v>
      </c>
      <c r="AX27" s="4">
        <f t="shared" ca="1" si="407"/>
        <v>0</v>
      </c>
      <c r="AY27" s="4">
        <f t="shared" ca="1" si="407"/>
        <v>0</v>
      </c>
      <c r="AZ27" s="4">
        <f t="shared" ca="1" si="407"/>
        <v>0</v>
      </c>
      <c r="BA27" s="4">
        <f t="shared" ca="1" si="407"/>
        <v>0</v>
      </c>
      <c r="BB27" s="4">
        <f t="shared" ca="1" si="407"/>
        <v>0</v>
      </c>
      <c r="BC27" s="4">
        <f t="shared" ca="1" si="407"/>
        <v>0</v>
      </c>
      <c r="BD27" s="4">
        <f t="shared" ca="1" si="407"/>
        <v>0</v>
      </c>
      <c r="BE27" s="4">
        <f t="shared" ca="1" si="407"/>
        <v>0</v>
      </c>
      <c r="BF27" s="4">
        <f t="shared" ca="1" si="407"/>
        <v>0</v>
      </c>
      <c r="BG27" s="4">
        <f t="shared" ca="1" si="407"/>
        <v>0</v>
      </c>
      <c r="BH27" s="4">
        <f t="shared" ca="1" si="407"/>
        <v>0</v>
      </c>
      <c r="BI27" s="4">
        <f t="shared" ca="1" si="407"/>
        <v>0</v>
      </c>
      <c r="BJ27" s="4">
        <f t="shared" ca="1" si="407"/>
        <v>0</v>
      </c>
      <c r="BK27" s="4">
        <f t="shared" ca="1" si="407"/>
        <v>0</v>
      </c>
      <c r="BL27" s="4">
        <f t="shared" ca="1" si="407"/>
        <v>0</v>
      </c>
      <c r="BM27" s="4">
        <f t="shared" ca="1" si="407"/>
        <v>0</v>
      </c>
      <c r="BN27" s="4">
        <f t="shared" ca="1" si="407"/>
        <v>0</v>
      </c>
      <c r="BO27" s="4">
        <f t="shared" ca="1" si="407"/>
        <v>0</v>
      </c>
      <c r="BP27" s="4">
        <f t="shared" ca="1" si="407"/>
        <v>0</v>
      </c>
      <c r="BQ27" s="4">
        <f t="shared" ca="1" si="407"/>
        <v>0</v>
      </c>
      <c r="BR27" s="4">
        <f t="shared" ca="1" si="407"/>
        <v>0</v>
      </c>
      <c r="BS27" s="4">
        <f t="shared" ca="1" si="407"/>
        <v>0</v>
      </c>
      <c r="BT27" s="4">
        <f t="shared" ca="1" si="407"/>
        <v>0</v>
      </c>
      <c r="BU27" s="4">
        <f t="shared" ca="1" si="407"/>
        <v>0</v>
      </c>
      <c r="BV27" s="4">
        <f t="shared" ca="1" si="407"/>
        <v>0</v>
      </c>
      <c r="BW27" s="5">
        <f t="shared" ca="1" si="407"/>
        <v>0</v>
      </c>
    </row>
    <row r="28" spans="1:75" ht="18.75" x14ac:dyDescent="0.3">
      <c r="A28" s="31" t="s">
        <v>3</v>
      </c>
      <c r="B28" s="32">
        <v>252</v>
      </c>
      <c r="C28" s="9">
        <f>B28-C26+C27</f>
        <v>252</v>
      </c>
      <c r="D28" s="10">
        <f t="shared" ref="D28" si="408">C28-D26+D27</f>
        <v>252</v>
      </c>
      <c r="E28" s="10">
        <f t="shared" ref="E28" si="409">D28-E26+E27</f>
        <v>252</v>
      </c>
      <c r="F28" s="10">
        <f t="shared" ref="F28" si="410">E28-F26+F27</f>
        <v>252</v>
      </c>
      <c r="G28" s="10">
        <f t="shared" ref="G28" si="411">F28-G26+G27</f>
        <v>252</v>
      </c>
      <c r="H28" s="10">
        <f t="shared" ref="H28" si="412">G28-H26+H27</f>
        <v>252</v>
      </c>
      <c r="I28" s="10">
        <f t="shared" ref="I28" si="413">H28-I26+I27</f>
        <v>252</v>
      </c>
      <c r="J28" s="10">
        <f t="shared" ref="J28" si="414">I28-J26+J27</f>
        <v>252</v>
      </c>
      <c r="K28" s="10">
        <f t="shared" ref="K28" si="415">J28-K26+K27</f>
        <v>252</v>
      </c>
      <c r="L28" s="10">
        <f t="shared" ref="L28" si="416">K28-L26+L27</f>
        <v>252</v>
      </c>
      <c r="M28" s="10">
        <f t="shared" ref="M28" si="417">L28-M26+M27</f>
        <v>252</v>
      </c>
      <c r="N28" s="10">
        <f t="shared" ref="N28" si="418">M28-N26+N27</f>
        <v>252</v>
      </c>
      <c r="O28" s="10">
        <f t="shared" ref="O28" si="419">N28-O26+O27</f>
        <v>252</v>
      </c>
      <c r="P28" s="10">
        <f t="shared" ref="P28" si="420">O28-P26+P27</f>
        <v>252</v>
      </c>
      <c r="Q28" s="10">
        <f t="shared" ref="Q28" si="421">P28-Q26+Q27</f>
        <v>252</v>
      </c>
      <c r="R28" s="10">
        <f t="shared" ref="R28" ca="1" si="422">Q28-R26+R27</f>
        <v>252</v>
      </c>
      <c r="S28" s="10">
        <f t="shared" ref="S28" ca="1" si="423">R28-S26+S27</f>
        <v>252</v>
      </c>
      <c r="T28" s="10">
        <f t="shared" ref="T28" ca="1" si="424">S28-T26+T27</f>
        <v>252</v>
      </c>
      <c r="U28" s="10">
        <f t="shared" ref="U28" ca="1" si="425">T28-U26+U27</f>
        <v>252</v>
      </c>
      <c r="V28" s="10">
        <f t="shared" ref="V28" ca="1" si="426">U28-V26+V27</f>
        <v>252</v>
      </c>
      <c r="W28" s="10">
        <f t="shared" ref="W28" ca="1" si="427">V28-W26+W27</f>
        <v>252</v>
      </c>
      <c r="X28" s="10">
        <f t="shared" ref="X28" ca="1" si="428">W28-X26+X27</f>
        <v>252</v>
      </c>
      <c r="Y28" s="10">
        <f t="shared" ref="Y28" ca="1" si="429">X28-Y26+Y27</f>
        <v>252</v>
      </c>
      <c r="Z28" s="11">
        <f t="shared" ref="Z28" ca="1" si="430">Y28-Z26+Z27</f>
        <v>208</v>
      </c>
      <c r="AA28" s="10">
        <f t="shared" ref="AA28" ca="1" si="431">Z28-AA26+AA27</f>
        <v>168</v>
      </c>
      <c r="AB28" s="11">
        <f t="shared" ref="AB28" ca="1" si="432">AA28-AB26+AB27</f>
        <v>120</v>
      </c>
      <c r="AC28" s="10">
        <f t="shared" ref="AC28" ca="1" si="433">AB28-AC26+AC27</f>
        <v>80</v>
      </c>
      <c r="AD28" s="11">
        <f t="shared" ref="AD28" ca="1" si="434">AC28-AD26+AD27</f>
        <v>40</v>
      </c>
      <c r="AE28" s="10">
        <f t="shared" ref="AE28" ca="1" si="435">AD28-AE26+AE27</f>
        <v>40</v>
      </c>
      <c r="AF28" s="11">
        <f t="shared" ref="AF28" ca="1" si="436">AE28-AF26+AF27</f>
        <v>40</v>
      </c>
      <c r="AG28" s="10">
        <f t="shared" ref="AG28" ca="1" si="437">AF28-AG26+AG27</f>
        <v>40</v>
      </c>
      <c r="AH28" s="11">
        <f t="shared" ref="AH28" ca="1" si="438">AG28-AH26+AH27</f>
        <v>0</v>
      </c>
      <c r="AI28" s="10">
        <f t="shared" ref="AI28" ca="1" si="439">AH28-AI26+AI27</f>
        <v>0</v>
      </c>
      <c r="AJ28" s="11">
        <f t="shared" ref="AJ28" ca="1" si="440">AI28-AJ26+AJ27</f>
        <v>0</v>
      </c>
      <c r="AK28" s="10">
        <f t="shared" ref="AK28" ca="1" si="441">AJ28-AK26+AK27</f>
        <v>192</v>
      </c>
      <c r="AL28" s="11">
        <f t="shared" ref="AL28" ca="1" si="442">AK28-AL26+AL27</f>
        <v>132</v>
      </c>
      <c r="AM28" s="10">
        <f t="shared" ref="AM28" ca="1" si="443">AL28-AM26+AM27</f>
        <v>132</v>
      </c>
      <c r="AN28" s="11">
        <f t="shared" ref="AN28" ca="1" si="444">AM28-AN26+AN27</f>
        <v>132</v>
      </c>
      <c r="AO28" s="10">
        <f t="shared" ref="AO28" ca="1" si="445">AN28-AO26+AO27</f>
        <v>236</v>
      </c>
      <c r="AP28" s="11">
        <f t="shared" ref="AP28" ca="1" si="446">AO28-AP26+AP27</f>
        <v>236</v>
      </c>
      <c r="AQ28" s="10">
        <f t="shared" ref="AQ28" ca="1" si="447">AP28-AQ26+AQ27</f>
        <v>236</v>
      </c>
      <c r="AR28" s="11">
        <f t="shared" ref="AR28" ca="1" si="448">AQ28-AR26+AR27</f>
        <v>236</v>
      </c>
      <c r="AS28" s="10">
        <f t="shared" ref="AS28" ca="1" si="449">AR28-AS26+AS27</f>
        <v>86</v>
      </c>
      <c r="AT28" s="11">
        <f t="shared" ref="AT28" ca="1" si="450">AS28-AT26+AT27</f>
        <v>86</v>
      </c>
      <c r="AU28" s="10">
        <f t="shared" ref="AU28" ca="1" si="451">AT28-AU26+AU27</f>
        <v>86</v>
      </c>
      <c r="AV28" s="11">
        <f t="shared" ref="AV28" ca="1" si="452">AU28-AV26+AV27</f>
        <v>86</v>
      </c>
      <c r="AW28" s="10">
        <f t="shared" ref="AW28" ca="1" si="453">AV28-AW26+AW27</f>
        <v>86</v>
      </c>
      <c r="AX28" s="11">
        <f t="shared" ref="AX28" ca="1" si="454">AW28-AX26+AX27</f>
        <v>86</v>
      </c>
      <c r="AY28" s="10">
        <f t="shared" ref="AY28" ca="1" si="455">AX28-AY26+AY27</f>
        <v>86</v>
      </c>
      <c r="AZ28" s="11">
        <f t="shared" ref="AZ28" ca="1" si="456">AY28-AZ26+AZ27</f>
        <v>86</v>
      </c>
      <c r="BA28" s="10">
        <f t="shared" ref="BA28" ca="1" si="457">AZ28-BA26+BA27</f>
        <v>86</v>
      </c>
      <c r="BB28" s="11">
        <f t="shared" ref="BB28" ca="1" si="458">BA28-BB26+BB27</f>
        <v>86</v>
      </c>
      <c r="BC28" s="10">
        <f t="shared" ref="BC28" ca="1" si="459">BB28-BC26+BC27</f>
        <v>86</v>
      </c>
      <c r="BD28" s="11">
        <f t="shared" ref="BD28" ca="1" si="460">BC28-BD26+BD27</f>
        <v>86</v>
      </c>
      <c r="BE28" s="10">
        <f t="shared" ref="BE28" ca="1" si="461">BD28-BE26+BE27</f>
        <v>86</v>
      </c>
      <c r="BF28" s="11">
        <f t="shared" ref="BF28" ca="1" si="462">BE28-BF26+BF27</f>
        <v>86</v>
      </c>
      <c r="BG28" s="10">
        <f t="shared" ref="BG28" ca="1" si="463">BF28-BG26+BG27</f>
        <v>86</v>
      </c>
      <c r="BH28" s="11">
        <f t="shared" ref="BH28" ca="1" si="464">BG28-BH26+BH27</f>
        <v>86</v>
      </c>
      <c r="BI28" s="10">
        <f t="shared" ref="BI28" ca="1" si="465">BH28-BI26+BI27</f>
        <v>86</v>
      </c>
      <c r="BJ28" s="11">
        <f t="shared" ref="BJ28" ca="1" si="466">BI28-BJ26+BJ27</f>
        <v>86</v>
      </c>
      <c r="BK28" s="10">
        <f t="shared" ref="BK28" ca="1" si="467">BJ28-BK26+BK27</f>
        <v>86</v>
      </c>
      <c r="BL28" s="11">
        <f t="shared" ref="BL28" ca="1" si="468">BK28-BL26+BL27</f>
        <v>86</v>
      </c>
      <c r="BM28" s="10">
        <f t="shared" ref="BM28" ca="1" si="469">BL28-BM26+BM27</f>
        <v>86</v>
      </c>
      <c r="BN28" s="11">
        <f t="shared" ref="BN28" ca="1" si="470">BM28-BN26+BN27</f>
        <v>86</v>
      </c>
      <c r="BO28" s="10">
        <f t="shared" ref="BO28" ca="1" si="471">BN28-BO26+BO27</f>
        <v>86</v>
      </c>
      <c r="BP28" s="11">
        <f t="shared" ref="BP28" ca="1" si="472">BO28-BP26+BP27</f>
        <v>86</v>
      </c>
      <c r="BQ28" s="10">
        <f t="shared" ref="BQ28" ca="1" si="473">BP28-BQ26+BQ27</f>
        <v>86</v>
      </c>
      <c r="BR28" s="11">
        <f t="shared" ref="BR28" ca="1" si="474">BQ28-BR26+BR27</f>
        <v>86</v>
      </c>
      <c r="BS28" s="10">
        <f t="shared" ref="BS28" ca="1" si="475">BR28-BS26+BS27</f>
        <v>86</v>
      </c>
      <c r="BT28" s="11">
        <f t="shared" ref="BT28" ca="1" si="476">BS28-BT26+BT27</f>
        <v>86</v>
      </c>
      <c r="BU28" s="10">
        <f t="shared" ref="BU28" ca="1" si="477">BT28-BU26+BU27</f>
        <v>86</v>
      </c>
      <c r="BV28" s="11">
        <f t="shared" ref="BV28" ca="1" si="478">BU28-BV26+BV27</f>
        <v>86</v>
      </c>
      <c r="BW28" s="10">
        <f t="shared" ref="BW28" ca="1" si="479">BV28-BW26+BW27</f>
        <v>86</v>
      </c>
    </row>
    <row r="29" spans="1:75" s="48" customFormat="1" ht="18.75" x14ac:dyDescent="0.3">
      <c r="A29" s="44"/>
      <c r="B29" s="45" t="s">
        <v>16</v>
      </c>
      <c r="C29" s="4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>
        <f t="shared" ref="X29:Z29" ca="1" si="480">ROUNDUP(OFFSET(X29,-4,$B24,1,1)/252,)*252</f>
        <v>252</v>
      </c>
      <c r="Y29" s="47">
        <f t="shared" ca="1" si="480"/>
        <v>0</v>
      </c>
      <c r="Z29" s="47">
        <f t="shared" ca="1" si="480"/>
        <v>0</v>
      </c>
      <c r="AA29" s="47">
        <f ca="1">ROUNDUP(OFFSET(AA29,-4,$B24,1,1)/252,)*252</f>
        <v>0</v>
      </c>
      <c r="AB29" s="47">
        <f ca="1">ROUNDUP(OFFSET(AB29,-4,$B24,1,1)/252,)*252</f>
        <v>504</v>
      </c>
      <c r="AC29" s="47">
        <f t="shared" ref="AC29:BW29" ca="1" si="481">ROUNDUP(OFFSET(AC29,-4,$B24,1,1)/252,)*252</f>
        <v>0</v>
      </c>
      <c r="AD29" s="47">
        <f t="shared" ca="1" si="481"/>
        <v>0</v>
      </c>
      <c r="AE29" s="47">
        <f t="shared" ca="1" si="481"/>
        <v>0</v>
      </c>
      <c r="AF29" s="47">
        <f t="shared" ca="1" si="481"/>
        <v>0</v>
      </c>
      <c r="AG29" s="47">
        <f t="shared" ca="1" si="481"/>
        <v>0</v>
      </c>
      <c r="AH29" s="47">
        <f t="shared" ca="1" si="481"/>
        <v>0</v>
      </c>
      <c r="AI29" s="47">
        <f t="shared" ca="1" si="481"/>
        <v>0</v>
      </c>
      <c r="AJ29" s="47">
        <f t="shared" ca="1" si="481"/>
        <v>0</v>
      </c>
      <c r="AK29" s="47">
        <f t="shared" ca="1" si="481"/>
        <v>0</v>
      </c>
      <c r="AL29" s="47">
        <f t="shared" ca="1" si="481"/>
        <v>0</v>
      </c>
      <c r="AM29" s="47">
        <f t="shared" ca="1" si="481"/>
        <v>0</v>
      </c>
      <c r="AN29" s="47">
        <f t="shared" ca="1" si="481"/>
        <v>0</v>
      </c>
      <c r="AO29" s="47">
        <f t="shared" ca="1" si="481"/>
        <v>0</v>
      </c>
      <c r="AP29" s="47">
        <f t="shared" ca="1" si="481"/>
        <v>0</v>
      </c>
      <c r="AQ29" s="47">
        <f t="shared" ca="1" si="481"/>
        <v>0</v>
      </c>
      <c r="AR29" s="47">
        <f t="shared" ca="1" si="481"/>
        <v>0</v>
      </c>
      <c r="AS29" s="47">
        <f t="shared" ca="1" si="481"/>
        <v>0</v>
      </c>
      <c r="AT29" s="47">
        <f t="shared" ca="1" si="481"/>
        <v>0</v>
      </c>
      <c r="AU29" s="47">
        <f t="shared" ca="1" si="481"/>
        <v>0</v>
      </c>
      <c r="AV29" s="47">
        <f t="shared" ca="1" si="481"/>
        <v>0</v>
      </c>
      <c r="AW29" s="47">
        <f t="shared" ca="1" si="481"/>
        <v>0</v>
      </c>
      <c r="AX29" s="47">
        <f t="shared" ca="1" si="481"/>
        <v>0</v>
      </c>
      <c r="AY29" s="47">
        <f t="shared" ca="1" si="481"/>
        <v>0</v>
      </c>
      <c r="AZ29" s="47">
        <f t="shared" ca="1" si="481"/>
        <v>0</v>
      </c>
      <c r="BA29" s="47">
        <f t="shared" ca="1" si="481"/>
        <v>0</v>
      </c>
      <c r="BB29" s="47">
        <f t="shared" ca="1" si="481"/>
        <v>0</v>
      </c>
      <c r="BC29" s="47">
        <f t="shared" ca="1" si="481"/>
        <v>0</v>
      </c>
      <c r="BD29" s="47">
        <f t="shared" ca="1" si="481"/>
        <v>0</v>
      </c>
      <c r="BE29" s="47">
        <f t="shared" ca="1" si="481"/>
        <v>0</v>
      </c>
      <c r="BF29" s="47">
        <f t="shared" ca="1" si="481"/>
        <v>0</v>
      </c>
      <c r="BG29" s="47">
        <f t="shared" ca="1" si="481"/>
        <v>0</v>
      </c>
      <c r="BH29" s="47">
        <f t="shared" ca="1" si="481"/>
        <v>0</v>
      </c>
      <c r="BI29" s="47">
        <f t="shared" ca="1" si="481"/>
        <v>0</v>
      </c>
      <c r="BJ29" s="47">
        <f t="shared" ca="1" si="481"/>
        <v>0</v>
      </c>
      <c r="BK29" s="47">
        <f t="shared" ca="1" si="481"/>
        <v>0</v>
      </c>
      <c r="BL29" s="47">
        <f t="shared" ca="1" si="481"/>
        <v>0</v>
      </c>
      <c r="BM29" s="47">
        <f t="shared" ca="1" si="481"/>
        <v>0</v>
      </c>
      <c r="BN29" s="47">
        <f t="shared" ca="1" si="481"/>
        <v>0</v>
      </c>
      <c r="BO29" s="47">
        <f t="shared" ca="1" si="481"/>
        <v>0</v>
      </c>
      <c r="BP29" s="47">
        <f t="shared" ca="1" si="481"/>
        <v>0</v>
      </c>
      <c r="BQ29" s="47">
        <f t="shared" ca="1" si="481"/>
        <v>0</v>
      </c>
      <c r="BR29" s="47">
        <f t="shared" ca="1" si="481"/>
        <v>0</v>
      </c>
      <c r="BS29" s="47">
        <f t="shared" ca="1" si="481"/>
        <v>0</v>
      </c>
      <c r="BT29" s="47">
        <f t="shared" ca="1" si="481"/>
        <v>0</v>
      </c>
      <c r="BU29" s="47">
        <f t="shared" ca="1" si="481"/>
        <v>0</v>
      </c>
      <c r="BV29" s="47">
        <f t="shared" ca="1" si="481"/>
        <v>0</v>
      </c>
      <c r="BW29" s="47">
        <f t="shared" ca="1" si="481"/>
        <v>0</v>
      </c>
    </row>
    <row r="32" spans="1:75" ht="34.5" x14ac:dyDescent="0.25">
      <c r="A32" s="33" t="s">
        <v>70</v>
      </c>
      <c r="B32" s="33" t="s">
        <v>69</v>
      </c>
    </row>
    <row r="52" spans="39:39" x14ac:dyDescent="0.25">
      <c r="AM52" s="1" t="s">
        <v>32</v>
      </c>
    </row>
  </sheetData>
  <mergeCells count="1">
    <mergeCell ref="A1:B1"/>
  </mergeCells>
  <phoneticPr fontId="2" type="noConversion"/>
  <conditionalFormatting sqref="A7:XFD7 A14:XFD14 A21:XFD21 A28:XFD2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Footer>&amp;L_x000D_&amp;1#&amp;"Calibri"&amp;10&amp;K008000 Confidential -C2-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MRP</vt:lpstr>
    </vt:vector>
  </TitlesOfParts>
  <Company>OPmobility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CHUNG, Ja-Hyung</dc:creator>
  <cp:lastModifiedBy>CHUNG, Ja-Hyung</cp:lastModifiedBy>
  <dcterms:created xsi:type="dcterms:W3CDTF">2025-10-03T08:40:16Z</dcterms:created>
  <dcterms:modified xsi:type="dcterms:W3CDTF">2025-10-06T07:31:31Z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af384-74fa-4222-b636-fc8f834be956_Enabled">
    <vt:lpwstr>true</vt:lpwstr>
  </property>
  <property fmtid="{D5CDD505-2E9C-101B-9397-08002B2CF9AE}" pid="3" name="MSIP_Label_c26af384-74fa-4222-b636-fc8f834be956_SetDate">
    <vt:lpwstr>2025-10-03T09:21:15Z</vt:lpwstr>
  </property>
  <property fmtid="{D5CDD505-2E9C-101B-9397-08002B2CF9AE}" pid="4" name="MSIP_Label_c26af384-74fa-4222-b636-fc8f834be956_Method">
    <vt:lpwstr>Standard</vt:lpwstr>
  </property>
  <property fmtid="{D5CDD505-2E9C-101B-9397-08002B2CF9AE}" pid="5" name="MSIP_Label_c26af384-74fa-4222-b636-fc8f834be956_Name">
    <vt:lpwstr>C2 - Confidential – Internal distribution</vt:lpwstr>
  </property>
  <property fmtid="{D5CDD505-2E9C-101B-9397-08002B2CF9AE}" pid="6" name="MSIP_Label_c26af384-74fa-4222-b636-fc8f834be956_SiteId">
    <vt:lpwstr>2696ce3d-b7da-4bf4-8f6d-b4df854adfcd</vt:lpwstr>
  </property>
  <property fmtid="{D5CDD505-2E9C-101B-9397-08002B2CF9AE}" pid="7" name="MSIP_Label_c26af384-74fa-4222-b636-fc8f834be956_ActionId">
    <vt:lpwstr>7c3bfb12-1ea2-4e6d-b6cb-bb183843de11</vt:lpwstr>
  </property>
  <property fmtid="{D5CDD505-2E9C-101B-9397-08002B2CF9AE}" pid="8" name="MSIP_Label_c26af384-74fa-4222-b636-fc8f834be956_ContentBits">
    <vt:lpwstr>2</vt:lpwstr>
  </property>
  <property fmtid="{D5CDD505-2E9C-101B-9397-08002B2CF9AE}" pid="9" name="MSIP_Label_c26af384-74fa-4222-b636-fc8f834be956_Tag">
    <vt:lpwstr>10, 3, 0, 1</vt:lpwstr>
  </property>
</Properties>
</file>